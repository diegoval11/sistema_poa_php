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lemus\Desktop\Creacion del POA\"/>
    </mc:Choice>
  </mc:AlternateContent>
  <xr:revisionPtr revIDLastSave="0" documentId="13_ncr:1_{0DFEA959-DDD0-46A9-B9EE-5CC02C4FFE3E}" xr6:coauthVersionLast="47" xr6:coauthVersionMax="47" xr10:uidLastSave="{00000000-0000-0000-0000-000000000000}"/>
  <bookViews>
    <workbookView xWindow="-120" yWindow="-120" windowWidth="29040" windowHeight="15720" tabRatio="800" xr2:uid="{00000000-000D-0000-FFFF-FFFF00000000}"/>
  </bookViews>
  <sheets>
    <sheet name="POA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1" i="7" l="1"/>
  <c r="BG21" i="7" s="1"/>
  <c r="BA21" i="7"/>
  <c r="AW21" i="7"/>
  <c r="AR21" i="7"/>
  <c r="AT21" i="7" s="1"/>
  <c r="AN21" i="7"/>
  <c r="AJ21" i="7"/>
  <c r="AF21" i="7"/>
  <c r="AD21" i="7"/>
  <c r="Z21" i="7"/>
  <c r="V21" i="7"/>
  <c r="Q21" i="7"/>
  <c r="S21" i="7" s="1"/>
  <c r="AG21" i="7" s="1"/>
  <c r="M21" i="7"/>
  <c r="I21" i="7"/>
  <c r="BE20" i="7"/>
  <c r="BA20" i="7"/>
  <c r="AW20" i="7"/>
  <c r="AR20" i="7"/>
  <c r="AN20" i="7"/>
  <c r="AJ20" i="7"/>
  <c r="AD20" i="7"/>
  <c r="Z20" i="7"/>
  <c r="V20" i="7"/>
  <c r="Q20" i="7"/>
  <c r="M20" i="7"/>
  <c r="I20" i="7"/>
  <c r="BE19" i="7"/>
  <c r="BE18" i="7"/>
  <c r="BE17" i="7"/>
  <c r="BE16" i="7"/>
  <c r="BE15" i="7"/>
  <c r="BA19" i="7"/>
  <c r="BA18" i="7"/>
  <c r="BA17" i="7"/>
  <c r="BA16" i="7"/>
  <c r="BA15" i="7"/>
  <c r="AW19" i="7"/>
  <c r="AW18" i="7"/>
  <c r="AW17" i="7"/>
  <c r="AW16" i="7"/>
  <c r="AW15" i="7"/>
  <c r="AR19" i="7"/>
  <c r="AR18" i="7"/>
  <c r="AR17" i="7"/>
  <c r="AR16" i="7"/>
  <c r="AR15" i="7"/>
  <c r="AN19" i="7"/>
  <c r="AN18" i="7"/>
  <c r="AN17" i="7"/>
  <c r="AN16" i="7"/>
  <c r="AN15" i="7"/>
  <c r="AJ19" i="7"/>
  <c r="AJ18" i="7"/>
  <c r="AJ17" i="7"/>
  <c r="AJ16" i="7"/>
  <c r="AJ15" i="7"/>
  <c r="AD19" i="7"/>
  <c r="AD18" i="7"/>
  <c r="AD17" i="7"/>
  <c r="AD16" i="7"/>
  <c r="AD15" i="7"/>
  <c r="Z19" i="7"/>
  <c r="Z18" i="7"/>
  <c r="Z17" i="7"/>
  <c r="Z16" i="7"/>
  <c r="Z15" i="7"/>
  <c r="V19" i="7"/>
  <c r="V18" i="7"/>
  <c r="V17" i="7"/>
  <c r="V16" i="7"/>
  <c r="V15" i="7"/>
  <c r="Q19" i="7"/>
  <c r="Q18" i="7"/>
  <c r="Q17" i="7"/>
  <c r="Q16" i="7"/>
  <c r="Q15" i="7"/>
  <c r="M19" i="7"/>
  <c r="M18" i="7"/>
  <c r="M17" i="7"/>
  <c r="M16" i="7"/>
  <c r="M15" i="7"/>
  <c r="I19" i="7"/>
  <c r="I18" i="7"/>
  <c r="I17" i="7"/>
  <c r="I16" i="7"/>
  <c r="I15" i="7"/>
  <c r="BE14" i="7"/>
  <c r="BA14" i="7"/>
  <c r="AW14" i="7"/>
  <c r="AR14" i="7"/>
  <c r="AN14" i="7"/>
  <c r="AJ14" i="7"/>
  <c r="AD14" i="7"/>
  <c r="Z14" i="7"/>
  <c r="V14" i="7"/>
  <c r="Q14" i="7"/>
  <c r="M14" i="7"/>
  <c r="I14" i="7"/>
  <c r="BE27" i="7"/>
  <c r="BA27" i="7"/>
  <c r="AW27" i="7"/>
  <c r="AR27" i="7"/>
  <c r="AN27" i="7"/>
  <c r="AJ27" i="7"/>
  <c r="AD27" i="7"/>
  <c r="Z27" i="7"/>
  <c r="V27" i="7"/>
  <c r="Q27" i="7"/>
  <c r="M27" i="7"/>
  <c r="I27" i="7"/>
  <c r="BE26" i="7"/>
  <c r="BA26" i="7"/>
  <c r="AW26" i="7"/>
  <c r="AR26" i="7"/>
  <c r="AN26" i="7"/>
  <c r="AJ26" i="7"/>
  <c r="AD26" i="7"/>
  <c r="Z26" i="7"/>
  <c r="V26" i="7"/>
  <c r="Q26" i="7"/>
  <c r="M26" i="7"/>
  <c r="I26" i="7"/>
  <c r="BE25" i="7"/>
  <c r="BA25" i="7"/>
  <c r="AW25" i="7"/>
  <c r="AR25" i="7"/>
  <c r="AN25" i="7"/>
  <c r="AJ25" i="7"/>
  <c r="AD25" i="7"/>
  <c r="Z25" i="7"/>
  <c r="V25" i="7"/>
  <c r="Q25" i="7"/>
  <c r="M25" i="7"/>
  <c r="I25" i="7"/>
  <c r="BE24" i="7"/>
  <c r="BA24" i="7"/>
  <c r="AW24" i="7"/>
  <c r="AR24" i="7"/>
  <c r="AN24" i="7"/>
  <c r="AJ24" i="7"/>
  <c r="AD24" i="7"/>
  <c r="Z24" i="7"/>
  <c r="V24" i="7"/>
  <c r="Q24" i="7"/>
  <c r="M24" i="7"/>
  <c r="I24" i="7"/>
  <c r="S24" i="7" s="1"/>
  <c r="BE23" i="7"/>
  <c r="BA23" i="7"/>
  <c r="AW23" i="7"/>
  <c r="AR23" i="7"/>
  <c r="AN23" i="7"/>
  <c r="AJ23" i="7"/>
  <c r="AD23" i="7"/>
  <c r="Z23" i="7"/>
  <c r="V23" i="7"/>
  <c r="Q23" i="7"/>
  <c r="M23" i="7"/>
  <c r="I23" i="7"/>
  <c r="BJ11" i="7"/>
  <c r="S25" i="7" l="1"/>
  <c r="BH21" i="7"/>
  <c r="BI21" i="7" s="1"/>
  <c r="AF20" i="7"/>
  <c r="AT14" i="7"/>
  <c r="AF17" i="7"/>
  <c r="AF16" i="7"/>
  <c r="BG19" i="7"/>
  <c r="S20" i="7"/>
  <c r="BG20" i="7"/>
  <c r="AT20" i="7"/>
  <c r="S23" i="7"/>
  <c r="S14" i="7"/>
  <c r="S18" i="7"/>
  <c r="AF18" i="7"/>
  <c r="AT19" i="7"/>
  <c r="AT25" i="7"/>
  <c r="BG27" i="7"/>
  <c r="AF23" i="7"/>
  <c r="AF27" i="7"/>
  <c r="AT17" i="7"/>
  <c r="AF14" i="7"/>
  <c r="AF24" i="7"/>
  <c r="AG24" i="7" s="1"/>
  <c r="S15" i="7"/>
  <c r="S19" i="7"/>
  <c r="BG18" i="7"/>
  <c r="AT23" i="7"/>
  <c r="BG23" i="7"/>
  <c r="AT24" i="7"/>
  <c r="BG24" i="7"/>
  <c r="BG25" i="7"/>
  <c r="S26" i="7"/>
  <c r="AT26" i="7"/>
  <c r="BG26" i="7"/>
  <c r="S27" i="7"/>
  <c r="S17" i="7"/>
  <c r="S16" i="7"/>
  <c r="AF15" i="7"/>
  <c r="AF19" i="7"/>
  <c r="AT16" i="7"/>
  <c r="BG17" i="7"/>
  <c r="BG16" i="7"/>
  <c r="AF26" i="7"/>
  <c r="AT15" i="7"/>
  <c r="AT27" i="7"/>
  <c r="BG14" i="7"/>
  <c r="AT18" i="7"/>
  <c r="BH18" i="7" s="1"/>
  <c r="BG15" i="7"/>
  <c r="AF25" i="7"/>
  <c r="AG25" i="7" s="1"/>
  <c r="AG20" i="7" l="1"/>
  <c r="AG17" i="7"/>
  <c r="AG16" i="7"/>
  <c r="BI16" i="7" s="1"/>
  <c r="BH14" i="7"/>
  <c r="BH20" i="7"/>
  <c r="BH23" i="7"/>
  <c r="AG14" i="7"/>
  <c r="BI14" i="7" s="1"/>
  <c r="BH16" i="7"/>
  <c r="BH19" i="7"/>
  <c r="AF12" i="7"/>
  <c r="AG18" i="7"/>
  <c r="AT22" i="7"/>
  <c r="BH26" i="7"/>
  <c r="BH24" i="7"/>
  <c r="BI24" i="7" s="1"/>
  <c r="AG19" i="7"/>
  <c r="S12" i="7"/>
  <c r="AG26" i="7"/>
  <c r="BG22" i="7"/>
  <c r="AG15" i="7"/>
  <c r="S22" i="7"/>
  <c r="S11" i="7" s="1"/>
  <c r="BH17" i="7"/>
  <c r="BI17" i="7" s="1"/>
  <c r="BG12" i="7"/>
  <c r="AT12" i="7"/>
  <c r="BH15" i="7"/>
  <c r="AG27" i="7"/>
  <c r="BH25" i="7"/>
  <c r="BI25" i="7" s="1"/>
  <c r="AG23" i="7"/>
  <c r="BI23" i="7" s="1"/>
  <c r="BH27" i="7"/>
  <c r="BI20" i="7"/>
  <c r="AF22" i="7"/>
  <c r="AF11" i="7" s="1"/>
  <c r="BI18" i="7"/>
  <c r="BI26" i="7" l="1"/>
  <c r="BH12" i="7"/>
  <c r="BI27" i="7"/>
  <c r="AT11" i="7"/>
  <c r="BI15" i="7"/>
  <c r="BI19" i="7"/>
  <c r="BI12" i="7" s="1"/>
  <c r="BH22" i="7"/>
  <c r="BG11" i="7"/>
  <c r="AG12" i="7"/>
  <c r="AG22" i="7"/>
  <c r="BI22" i="7"/>
  <c r="BH11" i="7" l="1"/>
  <c r="AG11" i="7"/>
  <c r="BI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GPLANIFICACION</author>
  </authors>
  <commentList>
    <comment ref="S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AF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AG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AT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BG1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BH1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  <comment ref="BI1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GPLANIFICACION:</t>
        </r>
        <r>
          <rPr>
            <sz val="9"/>
            <color indexed="81"/>
            <rFont val="Tahoma"/>
            <family val="2"/>
          </rPr>
          <t xml:space="preserve">
Nota ponderada
las actividades Planificadas tienen un 80% de ponderación y las no porgramadas un 20%.
De no existir actividades no programadas el 100% de ponderación es para las actividades programadas</t>
        </r>
      </text>
    </comment>
  </commentList>
</comments>
</file>

<file path=xl/sharedStrings.xml><?xml version="1.0" encoding="utf-8"?>
<sst xmlns="http://schemas.openxmlformats.org/spreadsheetml/2006/main" count="142" uniqueCount="36">
  <si>
    <t>8. Programación</t>
  </si>
  <si>
    <t>(Q1) TRIMESTRE 1</t>
  </si>
  <si>
    <t>(Q2) TRIMESTRE 2</t>
  </si>
  <si>
    <t>(Q3) TRIMESTRE 3</t>
  </si>
  <si>
    <t>(Q4) TRIMESTRE 4</t>
  </si>
  <si>
    <t>N°</t>
  </si>
  <si>
    <t>5. METAS</t>
  </si>
  <si>
    <t>7. UNIDAD DE MEDIDA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</si>
  <si>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</si>
  <si>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</si>
  <si>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</si>
  <si>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</si>
  <si>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</si>
  <si>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</si>
  <si>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</si>
  <si>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</si>
  <si>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</si>
  <si>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</si>
  <si>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</si>
  <si>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</si>
  <si>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Programado</t>
  </si>
  <si>
    <t>Realizado</t>
  </si>
  <si>
    <t>Cumplimiento</t>
  </si>
  <si>
    <t>Seguimiento
Trimestral</t>
  </si>
  <si>
    <t>Seguimiento
Semestral
(S1)</t>
  </si>
  <si>
    <t>Seguimiento
Semestral
(S2)</t>
  </si>
  <si>
    <t>9. Promedio
Anual</t>
  </si>
  <si>
    <t>10. Total de 
Recursos
$$$</t>
  </si>
  <si>
    <t>Actividades no planificadas</t>
  </si>
  <si>
    <t xml:space="preserve">4.PROYECTOS </t>
  </si>
  <si>
    <t>6.  ACTIVIDAD</t>
  </si>
  <si>
    <t>N/A</t>
  </si>
  <si>
    <t>Medio de verificación 
o 
Causal de 
Incumplimiento</t>
  </si>
  <si>
    <t>ALCALDÍA MUNICIPAL DE SANTA  ANA CENTRO</t>
  </si>
  <si>
    <t>PLAN OPERATIVO ANUAL 2025 (POA 2025)</t>
  </si>
  <si>
    <t>FORMATO POA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</si>
</sst>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_(&quot;$&quot;* #,##0.00_);_(&quot;$&quot;* \(#,##0.00\);_(&quot;$&quot;* &quot;-&quot;??_);_(@_)"/>
    <numFmt numFmtId="165" formatCode="0.0"/>
    <numFmt numFmtId="166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theme="5" tint="0.3999755851924192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6"/>
      <color theme="0"/>
      <name val="Times New Roman"/>
      <family val="1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theme="0" tint="-0.14996795556505021"/>
      </right>
      <top style="thin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/>
      <diagonal/>
    </border>
    <border>
      <left/>
      <right/>
      <top style="thin">
        <color indexed="64"/>
      </top>
      <bottom style="medium">
        <color theme="0" tint="-0.149967955565050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</cellStyleXfs>
  <cellXfs count="153">
    <xf numFmtId="0" fontId="0" fillId="0" borderId="0" xfId="0"/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9" fontId="5" fillId="0" borderId="1" xfId="2" applyFont="1" applyBorder="1" applyAlignment="1" applyProtection="1">
      <alignment horizontal="center" vertical="center"/>
      <protection locked="0"/>
    </xf>
    <xf numFmtId="1" fontId="5" fillId="0" borderId="19" xfId="0" applyNumberFormat="1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9" fontId="5" fillId="0" borderId="19" xfId="2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2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9" fontId="5" fillId="0" borderId="0" xfId="0" applyNumberFormat="1" applyFont="1"/>
    <xf numFmtId="165" fontId="5" fillId="0" borderId="0" xfId="0" applyNumberFormat="1" applyFont="1"/>
    <xf numFmtId="0" fontId="16" fillId="13" borderId="33" xfId="0" applyFont="1" applyFill="1" applyBorder="1"/>
    <xf numFmtId="0" fontId="16" fillId="13" borderId="34" xfId="0" applyFont="1" applyFill="1" applyBorder="1"/>
    <xf numFmtId="0" fontId="16" fillId="13" borderId="31" xfId="0" applyFont="1" applyFill="1" applyBorder="1"/>
    <xf numFmtId="9" fontId="8" fillId="14" borderId="13" xfId="2" applyFont="1" applyFill="1" applyBorder="1" applyAlignment="1" applyProtection="1">
      <alignment horizontal="center" vertical="center" wrapText="1"/>
    </xf>
    <xf numFmtId="0" fontId="16" fillId="8" borderId="44" xfId="0" applyFont="1" applyFill="1" applyBorder="1"/>
    <xf numFmtId="9" fontId="8" fillId="15" borderId="13" xfId="2" applyFont="1" applyFill="1" applyBorder="1" applyAlignment="1" applyProtection="1">
      <alignment horizontal="center" vertical="center" wrapText="1"/>
    </xf>
    <xf numFmtId="0" fontId="8" fillId="8" borderId="45" xfId="0" applyFont="1" applyFill="1" applyBorder="1"/>
    <xf numFmtId="0" fontId="8" fillId="8" borderId="44" xfId="0" applyFont="1" applyFill="1" applyBorder="1"/>
    <xf numFmtId="9" fontId="8" fillId="12" borderId="13" xfId="2" applyFont="1" applyFill="1" applyBorder="1" applyAlignment="1" applyProtection="1">
      <alignment horizontal="center" vertical="center" wrapText="1"/>
    </xf>
    <xf numFmtId="0" fontId="8" fillId="13" borderId="44" xfId="0" applyFont="1" applyFill="1" applyBorder="1"/>
    <xf numFmtId="9" fontId="9" fillId="23" borderId="13" xfId="2" applyFont="1" applyFill="1" applyBorder="1" applyAlignment="1" applyProtection="1">
      <alignment horizontal="center" wrapText="1"/>
    </xf>
    <xf numFmtId="166" fontId="5" fillId="16" borderId="7" xfId="0" applyNumberFormat="1" applyFont="1" applyFill="1" applyBorder="1"/>
    <xf numFmtId="9" fontId="11" fillId="13" borderId="13" xfId="2" applyFont="1" applyFill="1" applyBorder="1" applyAlignment="1" applyProtection="1">
      <alignment horizontal="center" vertical="center" wrapText="1"/>
    </xf>
    <xf numFmtId="9" fontId="12" fillId="9" borderId="13" xfId="2" applyFont="1" applyFill="1" applyBorder="1" applyAlignment="1" applyProtection="1">
      <alignment horizontal="center" vertical="center" wrapText="1"/>
    </xf>
    <xf numFmtId="9" fontId="10" fillId="8" borderId="13" xfId="2" applyFont="1" applyFill="1" applyBorder="1" applyAlignment="1" applyProtection="1">
      <alignment horizontal="center" vertical="center" wrapText="1"/>
    </xf>
    <xf numFmtId="9" fontId="11" fillId="13" borderId="46" xfId="2" applyFont="1" applyFill="1" applyBorder="1" applyAlignment="1" applyProtection="1">
      <alignment horizontal="center" vertical="center" wrapText="1"/>
    </xf>
    <xf numFmtId="9" fontId="12" fillId="9" borderId="8" xfId="2" applyFont="1" applyFill="1" applyBorder="1" applyAlignment="1" applyProtection="1">
      <alignment horizontal="center" vertical="center" wrapText="1"/>
    </xf>
    <xf numFmtId="0" fontId="8" fillId="11" borderId="31" xfId="0" applyFont="1" applyFill="1" applyBorder="1" applyAlignment="1">
      <alignment horizontal="center" vertical="center" textRotation="90"/>
    </xf>
    <xf numFmtId="0" fontId="8" fillId="11" borderId="13" xfId="0" applyFont="1" applyFill="1" applyBorder="1" applyAlignment="1">
      <alignment horizontal="center" vertical="center" textRotation="90"/>
    </xf>
    <xf numFmtId="0" fontId="9" fillId="11" borderId="9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9" fontId="8" fillId="13" borderId="13" xfId="2" applyFont="1" applyFill="1" applyBorder="1" applyAlignment="1" applyProtection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11" borderId="47" xfId="0" applyFont="1" applyFill="1" applyBorder="1" applyAlignment="1">
      <alignment horizontal="center" vertical="center" textRotation="90"/>
    </xf>
    <xf numFmtId="9" fontId="8" fillId="8" borderId="13" xfId="2" applyFont="1" applyFill="1" applyBorder="1" applyAlignment="1" applyProtection="1">
      <alignment horizontal="center" vertical="center" wrapText="1"/>
    </xf>
    <xf numFmtId="0" fontId="9" fillId="11" borderId="47" xfId="0" applyFont="1" applyFill="1" applyBorder="1" applyAlignment="1">
      <alignment horizontal="center" vertical="center" wrapText="1"/>
    </xf>
    <xf numFmtId="0" fontId="8" fillId="23" borderId="13" xfId="0" applyFont="1" applyFill="1" applyBorder="1" applyAlignment="1">
      <alignment horizontal="center" vertical="center" wrapText="1"/>
    </xf>
    <xf numFmtId="0" fontId="6" fillId="17" borderId="13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4" xfId="0" applyFont="1" applyBorder="1" applyAlignment="1">
      <alignment horizontal="center" vertical="center"/>
    </xf>
    <xf numFmtId="0" fontId="5" fillId="21" borderId="1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5" fillId="0" borderId="1" xfId="3" applyFont="1" applyBorder="1" applyAlignment="1">
      <alignment horizontal="left" vertical="center" wrapText="1"/>
    </xf>
    <xf numFmtId="0" fontId="17" fillId="21" borderId="1" xfId="0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9" fontId="6" fillId="3" borderId="19" xfId="2" applyFont="1" applyFill="1" applyBorder="1" applyAlignment="1" applyProtection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9" fontId="5" fillId="18" borderId="19" xfId="2" applyFont="1" applyFill="1" applyBorder="1" applyAlignment="1" applyProtection="1">
      <alignment horizontal="center" vertical="center" wrapText="1"/>
    </xf>
    <xf numFmtId="9" fontId="5" fillId="18" borderId="4" xfId="2" applyFont="1" applyFill="1" applyBorder="1" applyAlignment="1" applyProtection="1">
      <alignment horizontal="center" vertical="center" wrapText="1"/>
    </xf>
    <xf numFmtId="9" fontId="5" fillId="19" borderId="6" xfId="2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6" fillId="3" borderId="6" xfId="2" applyFont="1" applyFill="1" applyBorder="1" applyAlignment="1" applyProtection="1">
      <alignment horizontal="center" vertical="center" wrapText="1"/>
    </xf>
    <xf numFmtId="9" fontId="5" fillId="18" borderId="6" xfId="2" applyFont="1" applyFill="1" applyBorder="1" applyAlignment="1" applyProtection="1">
      <alignment horizontal="center" vertical="center" wrapText="1"/>
    </xf>
    <xf numFmtId="9" fontId="5" fillId="18" borderId="13" xfId="2" applyFont="1" applyFill="1" applyBorder="1" applyAlignment="1" applyProtection="1">
      <alignment horizontal="center" vertical="center" wrapText="1"/>
    </xf>
    <xf numFmtId="9" fontId="5" fillId="19" borderId="13" xfId="2" applyFont="1" applyFill="1" applyBorder="1" applyAlignment="1" applyProtection="1">
      <alignment horizontal="center" vertical="center" wrapText="1"/>
    </xf>
    <xf numFmtId="9" fontId="5" fillId="4" borderId="7" xfId="2" applyFont="1" applyFill="1" applyBorder="1" applyAlignment="1" applyProtection="1">
      <alignment horizontal="center" vertical="center" wrapText="1"/>
    </xf>
    <xf numFmtId="8" fontId="5" fillId="0" borderId="10" xfId="1" applyNumberFormat="1" applyFont="1" applyBorder="1" applyProtection="1"/>
    <xf numFmtId="0" fontId="5" fillId="0" borderId="2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18" borderId="1" xfId="2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9" fontId="6" fillId="3" borderId="41" xfId="2" applyFont="1" applyFill="1" applyBorder="1" applyAlignment="1" applyProtection="1">
      <alignment horizontal="center" vertical="center" wrapText="1"/>
    </xf>
    <xf numFmtId="9" fontId="5" fillId="18" borderId="41" xfId="2" applyFont="1" applyFill="1" applyBorder="1" applyAlignment="1" applyProtection="1">
      <alignment horizontal="center" vertical="center" wrapText="1"/>
    </xf>
    <xf numFmtId="8" fontId="5" fillId="0" borderId="12" xfId="1" applyNumberFormat="1" applyFont="1" applyBorder="1" applyProtection="1"/>
    <xf numFmtId="0" fontId="5" fillId="15" borderId="3" xfId="0" applyFont="1" applyFill="1" applyBorder="1" applyAlignment="1">
      <alignment horizontal="center" vertical="center"/>
    </xf>
    <xf numFmtId="0" fontId="8" fillId="11" borderId="38" xfId="0" applyFont="1" applyFill="1" applyBorder="1" applyAlignment="1">
      <alignment vertical="center" wrapText="1"/>
    </xf>
    <xf numFmtId="0" fontId="8" fillId="11" borderId="39" xfId="0" applyFont="1" applyFill="1" applyBorder="1" applyAlignment="1">
      <alignment vertical="center" wrapText="1"/>
    </xf>
    <xf numFmtId="0" fontId="8" fillId="11" borderId="34" xfId="0" applyFont="1" applyFill="1" applyBorder="1" applyAlignment="1">
      <alignment vertical="center" wrapText="1"/>
    </xf>
    <xf numFmtId="0" fontId="8" fillId="11" borderId="30" xfId="0" applyFont="1" applyFill="1" applyBorder="1" applyAlignment="1">
      <alignment vertical="center" wrapText="1"/>
    </xf>
    <xf numFmtId="0" fontId="8" fillId="11" borderId="43" xfId="0" applyFont="1" applyFill="1" applyBorder="1" applyAlignment="1">
      <alignment vertical="center" wrapText="1"/>
    </xf>
    <xf numFmtId="9" fontId="9" fillId="11" borderId="40" xfId="2" applyFont="1" applyFill="1" applyBorder="1" applyAlignment="1" applyProtection="1">
      <alignment horizontal="center" vertical="center" wrapText="1"/>
    </xf>
    <xf numFmtId="0" fontId="8" fillId="11" borderId="26" xfId="0" applyFont="1" applyFill="1" applyBorder="1" applyAlignment="1">
      <alignment vertical="center" wrapText="1"/>
    </xf>
    <xf numFmtId="9" fontId="9" fillId="11" borderId="4" xfId="2" applyFont="1" applyFill="1" applyBorder="1" applyAlignment="1" applyProtection="1">
      <alignment horizontal="center" vertical="center" wrapText="1"/>
    </xf>
    <xf numFmtId="9" fontId="9" fillId="11" borderId="6" xfId="2" applyFont="1" applyFill="1" applyBorder="1" applyAlignment="1" applyProtection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9" fontId="9" fillId="11" borderId="13" xfId="2" applyFont="1" applyFill="1" applyBorder="1" applyAlignment="1" applyProtection="1">
      <alignment horizontal="center" vertical="center" wrapText="1"/>
    </xf>
    <xf numFmtId="0" fontId="8" fillId="11" borderId="5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/>
    </xf>
    <xf numFmtId="9" fontId="5" fillId="6" borderId="19" xfId="2" applyFont="1" applyFill="1" applyBorder="1" applyAlignment="1" applyProtection="1">
      <alignment horizontal="center" vertical="center"/>
    </xf>
    <xf numFmtId="9" fontId="5" fillId="20" borderId="19" xfId="2" applyFont="1" applyFill="1" applyBorder="1" applyAlignment="1" applyProtection="1">
      <alignment horizontal="center" vertical="center" wrapText="1"/>
    </xf>
    <xf numFmtId="9" fontId="5" fillId="20" borderId="4" xfId="2" applyFont="1" applyFill="1" applyBorder="1" applyAlignment="1" applyProtection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9" fontId="5" fillId="6" borderId="6" xfId="2" applyFont="1" applyFill="1" applyBorder="1" applyAlignment="1" applyProtection="1">
      <alignment horizontal="center" vertical="center"/>
    </xf>
    <xf numFmtId="9" fontId="5" fillId="20" borderId="6" xfId="2" applyFont="1" applyFill="1" applyBorder="1" applyAlignment="1" applyProtection="1">
      <alignment horizontal="center" vertical="center" wrapText="1"/>
    </xf>
    <xf numFmtId="9" fontId="5" fillId="4" borderId="6" xfId="2" applyFont="1" applyFill="1" applyBorder="1" applyAlignment="1" applyProtection="1">
      <alignment horizontal="center" vertical="center" wrapText="1"/>
    </xf>
    <xf numFmtId="164" fontId="5" fillId="0" borderId="12" xfId="1" applyFont="1" applyBorder="1" applyProtection="1"/>
    <xf numFmtId="9" fontId="5" fillId="6" borderId="1" xfId="2" applyFont="1" applyFill="1" applyBorder="1" applyAlignment="1" applyProtection="1">
      <alignment horizontal="center" vertical="center"/>
    </xf>
    <xf numFmtId="9" fontId="5" fillId="20" borderId="1" xfId="2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22" borderId="24" xfId="0" applyFont="1" applyFill="1" applyBorder="1" applyAlignment="1">
      <alignment horizontal="center" vertical="center"/>
    </xf>
    <xf numFmtId="9" fontId="5" fillId="6" borderId="24" xfId="2" applyFont="1" applyFill="1" applyBorder="1" applyAlignment="1" applyProtection="1">
      <alignment horizontal="center" vertical="center"/>
    </xf>
    <xf numFmtId="9" fontId="5" fillId="20" borderId="24" xfId="2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vertical="top" wrapText="1"/>
    </xf>
    <xf numFmtId="9" fontId="5" fillId="0" borderId="19" xfId="2" applyFont="1" applyFill="1" applyBorder="1" applyAlignment="1" applyProtection="1">
      <alignment horizontal="center" vertical="center" wrapText="1"/>
      <protection locked="0"/>
    </xf>
    <xf numFmtId="9" fontId="5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41" xfId="0" applyFont="1" applyBorder="1" applyAlignment="1" applyProtection="1">
      <alignment horizontal="center" vertical="center" wrapText="1"/>
      <protection locked="0"/>
    </xf>
    <xf numFmtId="9" fontId="5" fillId="0" borderId="19" xfId="2" applyFont="1" applyBorder="1" applyAlignment="1" applyProtection="1">
      <alignment horizontal="center" vertical="center" wrapText="1"/>
      <protection locked="0"/>
    </xf>
    <xf numFmtId="9" fontId="5" fillId="0" borderId="1" xfId="2" applyFont="1" applyBorder="1" applyAlignment="1" applyProtection="1">
      <alignment horizontal="center" vertical="center" wrapText="1"/>
      <protection locked="0"/>
    </xf>
    <xf numFmtId="9" fontId="5" fillId="0" borderId="6" xfId="2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9" fontId="5" fillId="0" borderId="3" xfId="2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8" fillId="10" borderId="15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 wrapText="1"/>
    </xf>
    <xf numFmtId="0" fontId="13" fillId="11" borderId="28" xfId="0" applyFont="1" applyFill="1" applyBorder="1" applyAlignment="1">
      <alignment horizontal="center" vertical="center" wrapText="1"/>
    </xf>
    <xf numFmtId="0" fontId="13" fillId="11" borderId="29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8" fillId="11" borderId="35" xfId="0" applyFont="1" applyFill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8" fillId="11" borderId="33" xfId="0" applyFont="1" applyFill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1" xfId="0" applyFont="1" applyFill="1" applyBorder="1" applyAlignment="1">
      <alignment horizontal="center"/>
    </xf>
    <xf numFmtId="0" fontId="8" fillId="10" borderId="30" xfId="0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3" xr:uid="{33542AAC-A42A-401F-9AD6-697714FC0623}"/>
    <cellStyle name="Porcentaje" xfId="2" builtinId="5"/>
  </cellStyles>
  <dxfs count="0"/>
  <tableStyles count="0" defaultTableStyle="TableStyleMedium2" defaultPivotStyle="PivotStyleLight16"/>
  <colors>
    <mruColors>
      <color rgb="FFFF0000"/>
      <color rgb="FF990000"/>
      <color rgb="FFFFFFCC"/>
      <color rgb="FF7FE4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254000</xdr:colOff>
      <xdr:row>3</xdr:row>
      <xdr:rowOff>190500</xdr:rowOff>
    </xdr:from>
    <xdr:ext cx="17653000" cy="30162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28119E7-9FD5-8C9D-EB79-76E4F9635D7D}"/>
            </a:ext>
          </a:extLst>
        </xdr:cNvPr>
        <xdr:cNvSpPr txBox="1"/>
      </xdr:nvSpPr>
      <xdr:spPr>
        <a:xfrm>
          <a:off x="301625" y="904875"/>
          <a:ext cx="17653000" cy="301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SV" sz="1600" b="1"/>
            <a:t>UNIDAD:</a:t>
          </a:r>
        </a:p>
      </xdr:txBody>
    </xdr:sp>
    <xdr:clientData/>
  </xdr:oneCellAnchor>
  <xdr:oneCellAnchor>
    <xdr:from>
      <xdr:col>1</xdr:col>
      <xdr:colOff>222249</xdr:colOff>
      <xdr:row>4</xdr:row>
      <xdr:rowOff>222251</xdr:rowOff>
    </xdr:from>
    <xdr:ext cx="16811626" cy="25400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CEF75E7-5349-46BA-9E2A-F9774328AF00}"/>
            </a:ext>
          </a:extLst>
        </xdr:cNvPr>
        <xdr:cNvSpPr txBox="1"/>
      </xdr:nvSpPr>
      <xdr:spPr>
        <a:xfrm>
          <a:off x="269874" y="1143001"/>
          <a:ext cx="16811626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SV" sz="1600" b="1"/>
            <a:t>OBJETIVO ESTRATÉGICO:</a:t>
          </a:r>
        </a:p>
      </xdr:txBody>
    </xdr:sp>
    <xdr:clientData/>
  </xdr:oneCellAnchor>
  <xdr:oneCellAnchor>
    <xdr:from>
      <xdr:col>1</xdr:col>
      <xdr:colOff>222249</xdr:colOff>
      <xdr:row>5</xdr:row>
      <xdr:rowOff>222251</xdr:rowOff>
    </xdr:from>
    <xdr:ext cx="16779875" cy="38100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9EBEECA-6752-4123-BB4B-7A42E4EE17D9}"/>
            </a:ext>
          </a:extLst>
        </xdr:cNvPr>
        <xdr:cNvSpPr txBox="1"/>
      </xdr:nvSpPr>
      <xdr:spPr>
        <a:xfrm>
          <a:off x="269874" y="1397001"/>
          <a:ext cx="16779875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SV" sz="1600" b="1"/>
            <a:t>OBJETIVO DE LA UNIDAD:</a:t>
          </a:r>
        </a:p>
      </xdr:txBody>
    </xdr:sp>
    <xdr:clientData/>
  </xdr:oneCellAnchor>
  <xdr:twoCellAnchor editAs="oneCell">
    <xdr:from>
      <xdr:col>17</xdr:col>
      <xdr:colOff>523875</xdr:colOff>
      <xdr:row>1</xdr:row>
      <xdr:rowOff>211565</xdr:rowOff>
    </xdr:from>
    <xdr:to>
      <xdr:col>18</xdr:col>
      <xdr:colOff>762000</xdr:colOff>
      <xdr:row>7</xdr:row>
      <xdr:rowOff>69273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9BC971-6ACF-AAC8-B67C-B6176EE9F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645" t="16455" r="6773" b="16076"/>
        <a:stretch/>
      </xdr:blipFill>
      <xdr:spPr>
        <a:xfrm>
          <a:off x="20419219" y="402065"/>
          <a:ext cx="1619250" cy="1276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  <pageSetUpPr fitToPage="1"/>
  </sheetPr>
  <dimension ref="A2:BJ35"/>
  <sheetViews>
    <sheetView showGridLines="0" tabSelected="1" zoomScaleNormal="100" workbookViewId="0">
      <selection activeCell="AP19" sqref="AP19"/>
    </sheetView>
  </sheetViews>
  <sheetFormatPr baseColWidth="10" defaultColWidth="11.42578125" defaultRowHeight="15" x14ac:dyDescent="0.25"/>
  <cols>
    <col min="1" max="1" width="0.7109375" style="15" customWidth="1"/>
    <col min="2" max="2" width="4.28515625" style="15" customWidth="1"/>
    <col min="3" max="5" width="44.7109375" style="15" customWidth="1"/>
    <col min="6" max="6" width="25.42578125" style="15" customWidth="1"/>
    <col min="7" max="8" width="5.5703125" style="15" customWidth="1"/>
    <col min="9" max="9" width="19.7109375" style="15" customWidth="1"/>
    <col min="10" max="10" width="20.7109375" style="15" customWidth="1"/>
    <col min="11" max="11" width="5.140625" style="15" customWidth="1"/>
    <col min="12" max="12" width="5.5703125" style="15" customWidth="1"/>
    <col min="13" max="13" width="19.140625" style="15" customWidth="1"/>
    <col min="14" max="14" width="20.7109375" style="15" customWidth="1"/>
    <col min="15" max="15" width="4.85546875" style="15" customWidth="1"/>
    <col min="16" max="16" width="5.5703125" style="15" customWidth="1"/>
    <col min="17" max="17" width="21.85546875" style="15" customWidth="1"/>
    <col min="18" max="18" width="20.7109375" style="15" customWidth="1"/>
    <col min="19" max="19" width="16.42578125" style="15" customWidth="1"/>
    <col min="20" max="20" width="5" style="15" customWidth="1"/>
    <col min="21" max="21" width="5.5703125" style="15" customWidth="1"/>
    <col min="22" max="22" width="19.5703125" style="15" customWidth="1"/>
    <col min="23" max="23" width="20.7109375" style="15" customWidth="1"/>
    <col min="24" max="24" width="5.140625" style="15" customWidth="1"/>
    <col min="25" max="25" width="5.5703125" style="15" customWidth="1"/>
    <col min="26" max="26" width="19" style="15" customWidth="1"/>
    <col min="27" max="27" width="20.7109375" style="15" customWidth="1"/>
    <col min="28" max="28" width="4.7109375" style="15" customWidth="1"/>
    <col min="29" max="29" width="5.5703125" style="15" customWidth="1"/>
    <col min="30" max="30" width="18.85546875" style="15" customWidth="1"/>
    <col min="31" max="31" width="20.7109375" style="15" customWidth="1"/>
    <col min="32" max="32" width="16.140625" style="15" customWidth="1"/>
    <col min="33" max="33" width="15.140625" style="15" customWidth="1"/>
    <col min="34" max="34" width="5" style="15" customWidth="1"/>
    <col min="35" max="35" width="5.7109375" style="15" customWidth="1"/>
    <col min="36" max="36" width="18.28515625" style="15" customWidth="1"/>
    <col min="37" max="37" width="20.85546875" style="15" customWidth="1"/>
    <col min="38" max="38" width="4.85546875" style="15" customWidth="1"/>
    <col min="39" max="39" width="5.7109375" style="15" customWidth="1"/>
    <col min="40" max="40" width="15.42578125" style="15" customWidth="1"/>
    <col min="41" max="41" width="20.85546875" style="15" customWidth="1"/>
    <col min="42" max="42" width="5" style="15" customWidth="1"/>
    <col min="43" max="43" width="5.7109375" style="15" customWidth="1"/>
    <col min="44" max="44" width="15.42578125" style="15" customWidth="1"/>
    <col min="45" max="45" width="20.85546875" style="15" customWidth="1"/>
    <col min="46" max="46" width="16" style="15" customWidth="1"/>
    <col min="47" max="47" width="5" style="15" customWidth="1"/>
    <col min="48" max="48" width="5.7109375" style="15" customWidth="1"/>
    <col min="49" max="49" width="17.28515625" style="15" customWidth="1"/>
    <col min="50" max="50" width="20.85546875" style="15" customWidth="1"/>
    <col min="51" max="51" width="5" style="15" customWidth="1"/>
    <col min="52" max="52" width="5.42578125" style="15" customWidth="1"/>
    <col min="53" max="53" width="15.7109375" style="15" customWidth="1"/>
    <col min="54" max="54" width="20.85546875" style="15" customWidth="1"/>
    <col min="55" max="56" width="5.7109375" style="15" customWidth="1"/>
    <col min="57" max="57" width="17.140625" style="15" customWidth="1"/>
    <col min="58" max="58" width="20.85546875" style="15" customWidth="1"/>
    <col min="59" max="61" width="20.7109375" style="15" customWidth="1"/>
    <col min="62" max="62" width="23" style="15" customWidth="1"/>
    <col min="63" max="63" width="3.28515625" style="15" customWidth="1"/>
    <col min="64" max="66" width="11.42578125" style="15"/>
    <col min="67" max="67" width="11.42578125" style="15" customWidth="1"/>
    <col min="68" max="16384" width="11.42578125" style="15"/>
  </cols>
  <sheetData>
    <row r="2" spans="1:62" ht="21" customHeight="1" x14ac:dyDescent="0.25">
      <c r="B2" s="16"/>
      <c r="C2" s="16"/>
      <c r="D2" s="16"/>
      <c r="E2" s="16" t="s">
        <v>33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  <c r="U2" s="18"/>
      <c r="V2" s="18"/>
      <c r="W2" s="18"/>
      <c r="X2" s="18"/>
      <c r="Y2" s="18"/>
      <c r="Z2" s="18"/>
    </row>
    <row r="3" spans="1:62" x14ac:dyDescent="0.25">
      <c r="B3" s="16" t="s">
        <v>35</v>
      </c>
      <c r="C3" s="16"/>
      <c r="D3" s="16"/>
      <c r="E3" s="16" t="s">
        <v>34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8"/>
      <c r="U3" s="18"/>
      <c r="V3" s="18"/>
      <c r="W3" s="18"/>
      <c r="X3" s="18"/>
      <c r="Y3" s="18"/>
      <c r="Z3" s="18"/>
    </row>
    <row r="4" spans="1:62" ht="17.100000000000001" customHeight="1" x14ac:dyDescent="0.25">
      <c r="T4" s="18"/>
      <c r="U4" s="18"/>
      <c r="V4" s="18"/>
      <c r="W4" s="18"/>
      <c r="X4" s="18"/>
      <c r="Y4" s="18"/>
      <c r="Z4" s="18"/>
    </row>
    <row r="5" spans="1:62" ht="20.100000000000001" customHeight="1" x14ac:dyDescent="0.25">
      <c r="B5" s="19">
        <v>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  <c r="S5" s="21"/>
    </row>
    <row r="6" spans="1:62" ht="20.100000000000001" customHeight="1" x14ac:dyDescent="0.25">
      <c r="B6" s="19">
        <v>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  <c r="S6" s="23"/>
    </row>
    <row r="7" spans="1:62" ht="20.100000000000001" customHeight="1" x14ac:dyDescent="0.25">
      <c r="B7" s="19">
        <v>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1"/>
      <c r="S7" s="21"/>
    </row>
    <row r="8" spans="1:62" ht="15" customHeight="1" x14ac:dyDescent="0.25">
      <c r="B8" s="19"/>
      <c r="C8" s="25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7"/>
      <c r="Q8" s="26"/>
      <c r="R8" s="26"/>
      <c r="S8" s="28"/>
    </row>
    <row r="9" spans="1:62" ht="15" customHeight="1" thickBot="1" x14ac:dyDescent="0.3">
      <c r="O9" s="29"/>
      <c r="P9" s="29"/>
      <c r="S9" s="30"/>
      <c r="T9" s="31"/>
      <c r="AF9" s="30"/>
      <c r="AT9" s="30"/>
      <c r="BG9" s="30"/>
    </row>
    <row r="10" spans="1:62" ht="15" customHeight="1" thickBot="1" x14ac:dyDescent="0.3">
      <c r="B10" s="146" t="s">
        <v>5</v>
      </c>
      <c r="C10" s="143" t="s">
        <v>29</v>
      </c>
      <c r="D10" s="143" t="s">
        <v>6</v>
      </c>
      <c r="E10" s="143" t="s">
        <v>30</v>
      </c>
      <c r="F10" s="140" t="s">
        <v>7</v>
      </c>
      <c r="G10" s="149" t="s"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1"/>
    </row>
    <row r="11" spans="1:62" ht="15.75" customHeight="1" thickBot="1" x14ac:dyDescent="0.3">
      <c r="B11" s="147"/>
      <c r="C11" s="144"/>
      <c r="D11" s="144"/>
      <c r="E11" s="144"/>
      <c r="F11" s="141"/>
      <c r="G11" s="32" t="s">
        <v>1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4"/>
      <c r="S11" s="35">
        <f>IF(S22="100%",((S12*0.8)+(S22*0.2)),S12)</f>
        <v>0</v>
      </c>
      <c r="T11" s="36" t="s">
        <v>2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5">
        <f>IF(AF22="100%",((AF12*0.8)+(AF22*0.2)),AF12)</f>
        <v>0</v>
      </c>
      <c r="AG11" s="37">
        <f>IF(AG22="100%",((AG12*0.8)+(AG22*0.2)),AG12)</f>
        <v>0</v>
      </c>
      <c r="AH11" s="38" t="s">
        <v>3</v>
      </c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40">
        <f>IF(AT22="100%",((AT12*0.8)+(AT22*0.2)),AT12)</f>
        <v>0</v>
      </c>
      <c r="AU11" s="41" t="s">
        <v>4</v>
      </c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35">
        <f>IF(BG22="100%",((BG12*0.8)+(BG22*0.2)),BG12)</f>
        <v>0</v>
      </c>
      <c r="BH11" s="37">
        <f>IF(BH22="100%",((BH12*0.8)+(BH22*0.2)),BH12)</f>
        <v>0</v>
      </c>
      <c r="BI11" s="42">
        <f>IF(BI22="100%",((BI12*0.8)+(BI22*0.2)),BI12)</f>
        <v>0</v>
      </c>
      <c r="BJ11" s="43">
        <f>SUM(BJ14:BJ19)</f>
        <v>0</v>
      </c>
    </row>
    <row r="12" spans="1:62" ht="54.75" customHeight="1" thickBot="1" x14ac:dyDescent="0.3">
      <c r="B12" s="147"/>
      <c r="C12" s="144"/>
      <c r="D12" s="144"/>
      <c r="E12" s="144"/>
      <c r="F12" s="141"/>
      <c r="G12" s="152" t="s">
        <v>8</v>
      </c>
      <c r="H12" s="138"/>
      <c r="I12" s="138"/>
      <c r="J12" s="139"/>
      <c r="K12" s="137" t="s">
        <v>9</v>
      </c>
      <c r="L12" s="138"/>
      <c r="M12" s="138"/>
      <c r="N12" s="139"/>
      <c r="O12" s="137" t="s">
        <v>10</v>
      </c>
      <c r="P12" s="138"/>
      <c r="Q12" s="138"/>
      <c r="R12" s="139"/>
      <c r="S12" s="44">
        <f>IFERROR(AVERAGE(S14:S19),0)</f>
        <v>0</v>
      </c>
      <c r="T12" s="137" t="s">
        <v>11</v>
      </c>
      <c r="U12" s="138"/>
      <c r="V12" s="138"/>
      <c r="W12" s="139"/>
      <c r="X12" s="137" t="s">
        <v>12</v>
      </c>
      <c r="Y12" s="138"/>
      <c r="Z12" s="138"/>
      <c r="AA12" s="139"/>
      <c r="AB12" s="137" t="s">
        <v>13</v>
      </c>
      <c r="AC12" s="138"/>
      <c r="AD12" s="138"/>
      <c r="AE12" s="139"/>
      <c r="AF12" s="44">
        <f>IFERROR(AVERAGE(AF14:AF19),0)</f>
        <v>0</v>
      </c>
      <c r="AG12" s="45">
        <f>IFERROR(AVERAGE(AG14:AG19),0)</f>
        <v>0</v>
      </c>
      <c r="AH12" s="137" t="s">
        <v>14</v>
      </c>
      <c r="AI12" s="138"/>
      <c r="AJ12" s="138"/>
      <c r="AK12" s="139"/>
      <c r="AL12" s="137" t="s">
        <v>15</v>
      </c>
      <c r="AM12" s="138"/>
      <c r="AN12" s="138"/>
      <c r="AO12" s="139"/>
      <c r="AP12" s="137" t="s">
        <v>16</v>
      </c>
      <c r="AQ12" s="138"/>
      <c r="AR12" s="138"/>
      <c r="AS12" s="139"/>
      <c r="AT12" s="46">
        <f>IFERROR(AVERAGE(AT14:AT19),0)</f>
        <v>0</v>
      </c>
      <c r="AU12" s="137" t="s">
        <v>17</v>
      </c>
      <c r="AV12" s="138"/>
      <c r="AW12" s="138"/>
      <c r="AX12" s="139"/>
      <c r="AY12" s="137" t="s">
        <v>18</v>
      </c>
      <c r="AZ12" s="138"/>
      <c r="BA12" s="138"/>
      <c r="BB12" s="139"/>
      <c r="BC12" s="137" t="s">
        <v>19</v>
      </c>
      <c r="BD12" s="138"/>
      <c r="BE12" s="138"/>
      <c r="BF12" s="139"/>
      <c r="BG12" s="47">
        <f>IFERROR(AVERAGE(BG14:BG19),0)</f>
        <v>0</v>
      </c>
      <c r="BH12" s="48">
        <f>IFERROR(AVERAGE(BH14:BH19),0)</f>
        <v>0</v>
      </c>
      <c r="BI12" s="42">
        <f>IFERROR(AVERAGE(BI14:BI19),0)</f>
        <v>0</v>
      </c>
      <c r="BJ12" s="43"/>
    </row>
    <row r="13" spans="1:62" s="27" customFormat="1" ht="81.75" customHeight="1" thickBot="1" x14ac:dyDescent="0.3">
      <c r="B13" s="148"/>
      <c r="C13" s="145"/>
      <c r="D13" s="144"/>
      <c r="E13" s="145"/>
      <c r="F13" s="142"/>
      <c r="G13" s="49" t="s">
        <v>20</v>
      </c>
      <c r="H13" s="50" t="s">
        <v>21</v>
      </c>
      <c r="I13" s="51" t="s">
        <v>22</v>
      </c>
      <c r="J13" s="52" t="s">
        <v>32</v>
      </c>
      <c r="K13" s="50" t="s">
        <v>20</v>
      </c>
      <c r="L13" s="50" t="s">
        <v>21</v>
      </c>
      <c r="M13" s="51" t="s">
        <v>22</v>
      </c>
      <c r="N13" s="52" t="s">
        <v>32</v>
      </c>
      <c r="O13" s="50" t="s">
        <v>20</v>
      </c>
      <c r="P13" s="50" t="s">
        <v>21</v>
      </c>
      <c r="Q13" s="51" t="s">
        <v>22</v>
      </c>
      <c r="R13" s="52" t="s">
        <v>32</v>
      </c>
      <c r="S13" s="53" t="s">
        <v>23</v>
      </c>
      <c r="T13" s="50" t="s">
        <v>20</v>
      </c>
      <c r="U13" s="50" t="s">
        <v>21</v>
      </c>
      <c r="V13" s="52" t="s">
        <v>22</v>
      </c>
      <c r="W13" s="52" t="s">
        <v>32</v>
      </c>
      <c r="X13" s="50" t="s">
        <v>20</v>
      </c>
      <c r="Y13" s="50" t="s">
        <v>21</v>
      </c>
      <c r="Z13" s="52" t="s">
        <v>22</v>
      </c>
      <c r="AA13" s="52" t="s">
        <v>32</v>
      </c>
      <c r="AB13" s="50" t="s">
        <v>20</v>
      </c>
      <c r="AC13" s="50" t="s">
        <v>21</v>
      </c>
      <c r="AD13" s="52" t="s">
        <v>22</v>
      </c>
      <c r="AE13" s="52" t="s">
        <v>32</v>
      </c>
      <c r="AF13" s="53" t="s">
        <v>23</v>
      </c>
      <c r="AG13" s="54" t="s">
        <v>24</v>
      </c>
      <c r="AH13" s="50" t="s">
        <v>20</v>
      </c>
      <c r="AI13" s="55" t="s">
        <v>21</v>
      </c>
      <c r="AJ13" s="52" t="s">
        <v>22</v>
      </c>
      <c r="AK13" s="52" t="s">
        <v>32</v>
      </c>
      <c r="AL13" s="50" t="s">
        <v>20</v>
      </c>
      <c r="AM13" s="50" t="s">
        <v>21</v>
      </c>
      <c r="AN13" s="52" t="s">
        <v>22</v>
      </c>
      <c r="AO13" s="52" t="s">
        <v>32</v>
      </c>
      <c r="AP13" s="50" t="s">
        <v>20</v>
      </c>
      <c r="AQ13" s="50" t="s">
        <v>21</v>
      </c>
      <c r="AR13" s="52" t="s">
        <v>22</v>
      </c>
      <c r="AS13" s="52" t="s">
        <v>32</v>
      </c>
      <c r="AT13" s="56" t="s">
        <v>23</v>
      </c>
      <c r="AU13" s="50" t="s">
        <v>20</v>
      </c>
      <c r="AV13" s="50" t="s">
        <v>21</v>
      </c>
      <c r="AW13" s="57" t="s">
        <v>22</v>
      </c>
      <c r="AX13" s="52" t="s">
        <v>32</v>
      </c>
      <c r="AY13" s="50" t="s">
        <v>20</v>
      </c>
      <c r="AZ13" s="50" t="s">
        <v>21</v>
      </c>
      <c r="BA13" s="52" t="s">
        <v>22</v>
      </c>
      <c r="BB13" s="52" t="s">
        <v>32</v>
      </c>
      <c r="BC13" s="50" t="s">
        <v>20</v>
      </c>
      <c r="BD13" s="50" t="s">
        <v>21</v>
      </c>
      <c r="BE13" s="52" t="s">
        <v>22</v>
      </c>
      <c r="BF13" s="52" t="s">
        <v>32</v>
      </c>
      <c r="BG13" s="53" t="s">
        <v>23</v>
      </c>
      <c r="BH13" s="54" t="s">
        <v>25</v>
      </c>
      <c r="BI13" s="58" t="s">
        <v>26</v>
      </c>
      <c r="BJ13" s="59" t="s">
        <v>27</v>
      </c>
    </row>
    <row r="14" spans="1:62" ht="104.25" customHeight="1" thickBot="1" x14ac:dyDescent="0.3">
      <c r="A14" s="60"/>
      <c r="B14" s="61">
        <v>1</v>
      </c>
      <c r="C14" s="62"/>
      <c r="D14" s="63"/>
      <c r="E14" s="64"/>
      <c r="F14" s="65"/>
      <c r="G14" s="66"/>
      <c r="H14" s="5"/>
      <c r="I14" s="68" t="str">
        <f t="shared" ref="I14:I21" si="0">IFERROR(IF(H14/G14&lt;=1,H14/G14,"El valor excede al 100%, colocar el valor programado y trasladar el excedente a actividades no programadas en este mes"),"Actividad no programada")</f>
        <v>Actividad no programada</v>
      </c>
      <c r="J14" s="128"/>
      <c r="K14" s="69"/>
      <c r="L14" s="6"/>
      <c r="M14" s="68" t="str">
        <f t="shared" ref="M14:M21" si="1">IFERROR(IF(L14/K14&lt;=1,L14/K14,"El valor excede al 100%, colocar el valor programado y trasladar el excedente a actividades no programadas en este mes"),"Actividad no programada")</f>
        <v>Actividad no programada</v>
      </c>
      <c r="N14" s="7"/>
      <c r="O14" s="67"/>
      <c r="P14" s="6"/>
      <c r="Q14" s="68" t="str">
        <f t="shared" ref="Q14:Q21" si="2">IFERROR(IF(P14/O14&lt;=1,P14/O14,"El valor excede al 100%, colocar el valor programado y trasladar el excedente a actividades no programadas en este mes"),"Actividad no programada")</f>
        <v>Actividad no programada</v>
      </c>
      <c r="R14" s="7"/>
      <c r="S14" s="70" t="str">
        <f t="shared" ref="S14:S21" si="3">IFERROR(AVERAGE(I14,M14,Q14),"VALORES NO COLOCADOS")</f>
        <v>VALORES NO COLOCADOS</v>
      </c>
      <c r="T14" s="69"/>
      <c r="U14" s="11"/>
      <c r="V14" s="68" t="str">
        <f t="shared" ref="V14:V21" si="4">IFERROR(IF(U14/T14&lt;=1,U14/T14,"El valor excede al 100%, colocar el valor programado y trasladar el excedente a actividades no programadas en este mes"),"Actividad no programada")</f>
        <v>Actividad no programada</v>
      </c>
      <c r="W14" s="131"/>
      <c r="X14" s="69"/>
      <c r="Y14" s="11"/>
      <c r="Z14" s="68" t="str">
        <f t="shared" ref="Z14:Z21" si="5">IFERROR(IF(Y14/X14&lt;=1,Y14/X14,"El valor excede al 100%, colocar el valor programado y trasladar el excedente a actividades no programadas en este mes"),"Actividad no programada")</f>
        <v>Actividad no programada</v>
      </c>
      <c r="AA14" s="131"/>
      <c r="AB14" s="69"/>
      <c r="AC14" s="11"/>
      <c r="AD14" s="68" t="str">
        <f t="shared" ref="AD14:AD21" si="6">IFERROR(IF(AC14/AB14&lt;=1,AC14/AB14,"El valor excede al 100%, colocar el valor programado y trasladar el excedente a actividades no programadas en este mes"),"Actividad no programada")</f>
        <v>Actividad no programada</v>
      </c>
      <c r="AE14" s="133"/>
      <c r="AF14" s="71" t="str">
        <f t="shared" ref="AF14:AF21" si="7">IFERROR(AVERAGE(V14,Z14,AD14),"VALORES NO COLOCADOS")</f>
        <v>VALORES NO COLOCADOS</v>
      </c>
      <c r="AG14" s="72" t="str">
        <f t="shared" ref="AG14:AG21" si="8">IFERROR(AVERAGE(S14,AF14),"VALORES NO COLOCADOS")</f>
        <v>VALORES NO COLOCADOS</v>
      </c>
      <c r="AH14" s="73"/>
      <c r="AI14" s="134"/>
      <c r="AJ14" s="75" t="str">
        <f t="shared" ref="AJ14:AJ21" si="9">IFERROR(IF(AI14/AH14&lt;=1,AI14/AH14,"El valor excede al 100%, colocar el valor programado y trasladar el excedente a actividades no programadas en este mes"),"Actividad no programada")</f>
        <v>Actividad no programada</v>
      </c>
      <c r="AK14" s="133"/>
      <c r="AL14" s="74"/>
      <c r="AM14" s="134"/>
      <c r="AN14" s="75" t="str">
        <f t="shared" ref="AN14:AN21" si="10">IFERROR(IF(AM14/AL14&lt;=1,AM14/AL14,"El valor excede al 100%, colocar el valor programado y trasladar el excedente a actividades no programadas en este mes"),"Actividad no programada")</f>
        <v>Actividad no programada</v>
      </c>
      <c r="AO14" s="133"/>
      <c r="AP14" s="74"/>
      <c r="AQ14" s="134"/>
      <c r="AR14" s="75" t="str">
        <f t="shared" ref="AR14:AR21" si="11">IFERROR(IF(AQ14/AP14&lt;=1,AQ14/AP14,"El valor excede al 100%, colocar el valor programado y trasladar el excedente a actividades no programadas en este mes"),"Actividad no programada")</f>
        <v>Actividad no programada</v>
      </c>
      <c r="AS14" s="133"/>
      <c r="AT14" s="76" t="str">
        <f t="shared" ref="AT14:AT21" si="12">IFERROR(AVERAGE(AJ14,AN14,AR14),"VALORES NO COLOCADOS")</f>
        <v>VALORES NO COLOCADOS</v>
      </c>
      <c r="AU14" s="74"/>
      <c r="AV14" s="134"/>
      <c r="AW14" s="75" t="str">
        <f t="shared" ref="AW14:AW21" si="13">IFERROR(IF(AV14/AU14&lt;=1,AV14/AU14,"El valor excede al 100%, colocar el valor programado y trasladar el excedente a actividades no programadas en este mes"),"Actividad no programada")</f>
        <v>Actividad no programada</v>
      </c>
      <c r="AX14" s="133"/>
      <c r="AY14" s="74"/>
      <c r="AZ14" s="134"/>
      <c r="BA14" s="75" t="str">
        <f t="shared" ref="BA14:BA21" si="14">IFERROR(IF(AZ14/AY14&lt;=1,AZ14/AY14,"El valor excede al 100%, colocar el valor programado y trasladar el excedente a actividades no programadas en este mes"),"Actividad no programada")</f>
        <v>Actividad no programada</v>
      </c>
      <c r="BB14" s="133"/>
      <c r="BC14" s="74"/>
      <c r="BD14" s="134"/>
      <c r="BE14" s="75" t="str">
        <f t="shared" ref="BE14:BE21" si="15">IFERROR(IF(BD14/BC14&lt;=1,BD14/BC14,"El valor excede al 100%, colocar el valor programado y trasladar el excedente a actividades no programadas en este mes"),"Actividad no programada")</f>
        <v>Actividad no programada</v>
      </c>
      <c r="BF14" s="135"/>
      <c r="BG14" s="77" t="str">
        <f t="shared" ref="BG14:BG21" si="16">IFERROR(AVERAGE(AW14,BA14,BE14),"VALORES NO COLOCADOS")</f>
        <v>VALORES NO COLOCADOS</v>
      </c>
      <c r="BH14" s="78" t="str">
        <f t="shared" ref="BH14:BH21" si="17">IFERROR(AVERAGE(AT14,BG14),"VALORES NO COLOCADOS")</f>
        <v>VALORES NO COLOCADOS</v>
      </c>
      <c r="BI14" s="79" t="str">
        <f t="shared" ref="BI14:BI21" si="18">IFERROR(AVERAGE(AG14,BH14),"VALORES NO COLOCADOS")</f>
        <v>VALORES NO COLOCADOS</v>
      </c>
      <c r="BJ14" s="80"/>
    </row>
    <row r="15" spans="1:62" ht="104.25" customHeight="1" thickBot="1" x14ac:dyDescent="0.3">
      <c r="A15" s="60"/>
      <c r="B15" s="61">
        <v>2</v>
      </c>
      <c r="C15" s="81"/>
      <c r="D15" s="63"/>
      <c r="E15" s="64"/>
      <c r="F15" s="82"/>
      <c r="G15" s="83"/>
      <c r="H15" s="1"/>
      <c r="I15" s="85" t="str">
        <f t="shared" si="0"/>
        <v>Actividad no programada</v>
      </c>
      <c r="J15" s="129"/>
      <c r="K15" s="86"/>
      <c r="L15" s="3"/>
      <c r="M15" s="85" t="str">
        <f t="shared" si="1"/>
        <v>Actividad no programada</v>
      </c>
      <c r="N15" s="4"/>
      <c r="O15" s="84"/>
      <c r="P15" s="3"/>
      <c r="Q15" s="85" t="str">
        <f t="shared" si="2"/>
        <v>Actividad no programada</v>
      </c>
      <c r="R15" s="4"/>
      <c r="S15" s="87" t="str">
        <f t="shared" si="3"/>
        <v>VALORES NO COLOCADOS</v>
      </c>
      <c r="T15" s="86"/>
      <c r="U15" s="2"/>
      <c r="V15" s="85" t="str">
        <f t="shared" si="4"/>
        <v>Actividad no programada</v>
      </c>
      <c r="W15" s="132"/>
      <c r="X15" s="86"/>
      <c r="Y15" s="2"/>
      <c r="Z15" s="85" t="str">
        <f t="shared" si="5"/>
        <v>Actividad no programada</v>
      </c>
      <c r="AA15" s="132"/>
      <c r="AB15" s="86"/>
      <c r="AC15" s="2"/>
      <c r="AD15" s="85" t="str">
        <f t="shared" si="6"/>
        <v>Actividad no programada</v>
      </c>
      <c r="AE15" s="132"/>
      <c r="AF15" s="71" t="str">
        <f t="shared" si="7"/>
        <v>VALORES NO COLOCADOS</v>
      </c>
      <c r="AG15" s="72" t="str">
        <f t="shared" si="8"/>
        <v>VALORES NO COLOCADOS</v>
      </c>
      <c r="AH15" s="73"/>
      <c r="AI15" s="134"/>
      <c r="AJ15" s="75" t="str">
        <f t="shared" si="9"/>
        <v>Actividad no programada</v>
      </c>
      <c r="AK15" s="133"/>
      <c r="AL15" s="74"/>
      <c r="AM15" s="134"/>
      <c r="AN15" s="75" t="str">
        <f t="shared" si="10"/>
        <v>Actividad no programada</v>
      </c>
      <c r="AO15" s="133"/>
      <c r="AP15" s="74"/>
      <c r="AQ15" s="134"/>
      <c r="AR15" s="75" t="str">
        <f t="shared" si="11"/>
        <v>Actividad no programada</v>
      </c>
      <c r="AS15" s="133"/>
      <c r="AT15" s="76" t="str">
        <f t="shared" si="12"/>
        <v>VALORES NO COLOCADOS</v>
      </c>
      <c r="AU15" s="74"/>
      <c r="AV15" s="134"/>
      <c r="AW15" s="75" t="str">
        <f t="shared" si="13"/>
        <v>Actividad no programada</v>
      </c>
      <c r="AX15" s="133"/>
      <c r="AY15" s="74"/>
      <c r="AZ15" s="134"/>
      <c r="BA15" s="75" t="str">
        <f t="shared" si="14"/>
        <v>Actividad no programada</v>
      </c>
      <c r="BB15" s="133"/>
      <c r="BC15" s="74"/>
      <c r="BD15" s="2"/>
      <c r="BE15" s="75" t="str">
        <f t="shared" si="15"/>
        <v>Actividad no programada</v>
      </c>
      <c r="BF15" s="136"/>
      <c r="BG15" s="77" t="str">
        <f t="shared" si="16"/>
        <v>VALORES NO COLOCADOS</v>
      </c>
      <c r="BH15" s="78" t="str">
        <f t="shared" si="17"/>
        <v>VALORES NO COLOCADOS</v>
      </c>
      <c r="BI15" s="79" t="str">
        <f t="shared" si="18"/>
        <v>VALORES NO COLOCADOS</v>
      </c>
      <c r="BJ15" s="80"/>
    </row>
    <row r="16" spans="1:62" ht="104.25" customHeight="1" thickBot="1" x14ac:dyDescent="0.3">
      <c r="A16" s="60"/>
      <c r="B16" s="61">
        <v>3</v>
      </c>
      <c r="C16" s="81"/>
      <c r="D16" s="63"/>
      <c r="E16" s="64"/>
      <c r="F16" s="82"/>
      <c r="G16" s="83"/>
      <c r="H16" s="1"/>
      <c r="I16" s="85" t="str">
        <f t="shared" si="0"/>
        <v>Actividad no programada</v>
      </c>
      <c r="J16" s="129"/>
      <c r="K16" s="86"/>
      <c r="L16" s="3"/>
      <c r="M16" s="85" t="str">
        <f t="shared" si="1"/>
        <v>Actividad no programada</v>
      </c>
      <c r="N16" s="4"/>
      <c r="O16" s="84"/>
      <c r="P16" s="3"/>
      <c r="Q16" s="85" t="str">
        <f t="shared" si="2"/>
        <v>Actividad no programada</v>
      </c>
      <c r="R16" s="4"/>
      <c r="S16" s="87" t="str">
        <f t="shared" si="3"/>
        <v>VALORES NO COLOCADOS</v>
      </c>
      <c r="T16" s="86"/>
      <c r="U16" s="2"/>
      <c r="V16" s="85" t="str">
        <f t="shared" si="4"/>
        <v>Actividad no programada</v>
      </c>
      <c r="W16" s="132"/>
      <c r="X16" s="86"/>
      <c r="Y16" s="2"/>
      <c r="Z16" s="85" t="str">
        <f t="shared" si="5"/>
        <v>Actividad no programada</v>
      </c>
      <c r="AA16" s="132"/>
      <c r="AB16" s="86"/>
      <c r="AC16" s="2"/>
      <c r="AD16" s="85" t="str">
        <f t="shared" si="6"/>
        <v>Actividad no programada</v>
      </c>
      <c r="AE16" s="132"/>
      <c r="AF16" s="71" t="str">
        <f t="shared" si="7"/>
        <v>VALORES NO COLOCADOS</v>
      </c>
      <c r="AG16" s="72" t="str">
        <f t="shared" si="8"/>
        <v>VALORES NO COLOCADOS</v>
      </c>
      <c r="AH16" s="73"/>
      <c r="AI16" s="134"/>
      <c r="AJ16" s="75" t="str">
        <f t="shared" si="9"/>
        <v>Actividad no programada</v>
      </c>
      <c r="AK16" s="133"/>
      <c r="AL16" s="74"/>
      <c r="AM16" s="134"/>
      <c r="AN16" s="75" t="str">
        <f t="shared" si="10"/>
        <v>Actividad no programada</v>
      </c>
      <c r="AO16" s="133"/>
      <c r="AP16" s="74"/>
      <c r="AQ16" s="134"/>
      <c r="AR16" s="75" t="str">
        <f t="shared" si="11"/>
        <v>Actividad no programada</v>
      </c>
      <c r="AS16" s="133"/>
      <c r="AT16" s="76" t="str">
        <f t="shared" si="12"/>
        <v>VALORES NO COLOCADOS</v>
      </c>
      <c r="AU16" s="74"/>
      <c r="AV16" s="134"/>
      <c r="AW16" s="75" t="str">
        <f t="shared" si="13"/>
        <v>Actividad no programada</v>
      </c>
      <c r="AX16" s="133"/>
      <c r="AY16" s="74"/>
      <c r="AZ16" s="134"/>
      <c r="BA16" s="75" t="str">
        <f t="shared" si="14"/>
        <v>Actividad no programada</v>
      </c>
      <c r="BB16" s="133"/>
      <c r="BC16" s="74"/>
      <c r="BD16" s="2"/>
      <c r="BE16" s="75" t="str">
        <f t="shared" si="15"/>
        <v>Actividad no programada</v>
      </c>
      <c r="BF16" s="136"/>
      <c r="BG16" s="77" t="str">
        <f t="shared" si="16"/>
        <v>VALORES NO COLOCADOS</v>
      </c>
      <c r="BH16" s="78" t="str">
        <f t="shared" si="17"/>
        <v>VALORES NO COLOCADOS</v>
      </c>
      <c r="BI16" s="79" t="str">
        <f t="shared" si="18"/>
        <v>VALORES NO COLOCADOS</v>
      </c>
      <c r="BJ16" s="80"/>
    </row>
    <row r="17" spans="1:62" ht="104.25" customHeight="1" thickBot="1" x14ac:dyDescent="0.3">
      <c r="A17" s="60"/>
      <c r="B17" s="61">
        <v>4</v>
      </c>
      <c r="C17" s="81"/>
      <c r="D17" s="63"/>
      <c r="E17" s="64"/>
      <c r="F17" s="82"/>
      <c r="G17" s="83"/>
      <c r="H17" s="1"/>
      <c r="I17" s="85" t="str">
        <f t="shared" si="0"/>
        <v>Actividad no programada</v>
      </c>
      <c r="J17" s="129"/>
      <c r="K17" s="86"/>
      <c r="L17" s="3"/>
      <c r="M17" s="85" t="str">
        <f t="shared" si="1"/>
        <v>Actividad no programada</v>
      </c>
      <c r="N17" s="4"/>
      <c r="O17" s="84"/>
      <c r="P17" s="3"/>
      <c r="Q17" s="85" t="str">
        <f t="shared" si="2"/>
        <v>Actividad no programada</v>
      </c>
      <c r="R17" s="4"/>
      <c r="S17" s="87" t="str">
        <f t="shared" si="3"/>
        <v>VALORES NO COLOCADOS</v>
      </c>
      <c r="T17" s="86"/>
      <c r="U17" s="2"/>
      <c r="V17" s="85" t="str">
        <f t="shared" si="4"/>
        <v>Actividad no programada</v>
      </c>
      <c r="W17" s="132"/>
      <c r="X17" s="86"/>
      <c r="Y17" s="2"/>
      <c r="Z17" s="85" t="str">
        <f t="shared" si="5"/>
        <v>Actividad no programada</v>
      </c>
      <c r="AA17" s="132"/>
      <c r="AB17" s="86"/>
      <c r="AC17" s="2"/>
      <c r="AD17" s="85" t="str">
        <f t="shared" si="6"/>
        <v>Actividad no programada</v>
      </c>
      <c r="AE17" s="132"/>
      <c r="AF17" s="71" t="str">
        <f t="shared" si="7"/>
        <v>VALORES NO COLOCADOS</v>
      </c>
      <c r="AG17" s="72" t="str">
        <f t="shared" si="8"/>
        <v>VALORES NO COLOCADOS</v>
      </c>
      <c r="AH17" s="73"/>
      <c r="AI17" s="134"/>
      <c r="AJ17" s="75" t="str">
        <f t="shared" si="9"/>
        <v>Actividad no programada</v>
      </c>
      <c r="AK17" s="133"/>
      <c r="AL17" s="74"/>
      <c r="AM17" s="134"/>
      <c r="AN17" s="75" t="str">
        <f t="shared" si="10"/>
        <v>Actividad no programada</v>
      </c>
      <c r="AO17" s="133"/>
      <c r="AP17" s="74"/>
      <c r="AQ17" s="134"/>
      <c r="AR17" s="75" t="str">
        <f t="shared" si="11"/>
        <v>Actividad no programada</v>
      </c>
      <c r="AS17" s="133"/>
      <c r="AT17" s="76" t="str">
        <f t="shared" si="12"/>
        <v>VALORES NO COLOCADOS</v>
      </c>
      <c r="AU17" s="74"/>
      <c r="AV17" s="134"/>
      <c r="AW17" s="75" t="str">
        <f t="shared" si="13"/>
        <v>Actividad no programada</v>
      </c>
      <c r="AX17" s="133"/>
      <c r="AY17" s="74"/>
      <c r="AZ17" s="134"/>
      <c r="BA17" s="75" t="str">
        <f t="shared" si="14"/>
        <v>Actividad no programada</v>
      </c>
      <c r="BB17" s="133"/>
      <c r="BC17" s="74"/>
      <c r="BD17" s="2"/>
      <c r="BE17" s="75" t="str">
        <f t="shared" si="15"/>
        <v>Actividad no programada</v>
      </c>
      <c r="BF17" s="136"/>
      <c r="BG17" s="77" t="str">
        <f t="shared" si="16"/>
        <v>VALORES NO COLOCADOS</v>
      </c>
      <c r="BH17" s="78" t="str">
        <f t="shared" si="17"/>
        <v>VALORES NO COLOCADOS</v>
      </c>
      <c r="BI17" s="79" t="str">
        <f t="shared" si="18"/>
        <v>VALORES NO COLOCADOS</v>
      </c>
      <c r="BJ17" s="80"/>
    </row>
    <row r="18" spans="1:62" ht="104.25" customHeight="1" thickBot="1" x14ac:dyDescent="0.3">
      <c r="A18" s="60"/>
      <c r="B18" s="61">
        <v>5</v>
      </c>
      <c r="C18" s="81"/>
      <c r="D18" s="63"/>
      <c r="E18" s="64"/>
      <c r="F18" s="82"/>
      <c r="G18" s="83"/>
      <c r="H18" s="1"/>
      <c r="I18" s="85" t="str">
        <f t="shared" si="0"/>
        <v>Actividad no programada</v>
      </c>
      <c r="J18" s="129"/>
      <c r="K18" s="86"/>
      <c r="L18" s="3"/>
      <c r="M18" s="85" t="str">
        <f t="shared" si="1"/>
        <v>Actividad no programada</v>
      </c>
      <c r="N18" s="4"/>
      <c r="O18" s="84"/>
      <c r="P18" s="3"/>
      <c r="Q18" s="85" t="str">
        <f t="shared" si="2"/>
        <v>Actividad no programada</v>
      </c>
      <c r="R18" s="4"/>
      <c r="S18" s="87" t="str">
        <f t="shared" si="3"/>
        <v>VALORES NO COLOCADOS</v>
      </c>
      <c r="T18" s="86"/>
      <c r="U18" s="2"/>
      <c r="V18" s="85" t="str">
        <f t="shared" si="4"/>
        <v>Actividad no programada</v>
      </c>
      <c r="W18" s="132"/>
      <c r="X18" s="86"/>
      <c r="Y18" s="2"/>
      <c r="Z18" s="85" t="str">
        <f t="shared" si="5"/>
        <v>Actividad no programada</v>
      </c>
      <c r="AA18" s="132"/>
      <c r="AB18" s="86"/>
      <c r="AC18" s="2"/>
      <c r="AD18" s="85" t="str">
        <f t="shared" si="6"/>
        <v>Actividad no programada</v>
      </c>
      <c r="AE18" s="132"/>
      <c r="AF18" s="71" t="str">
        <f t="shared" si="7"/>
        <v>VALORES NO COLOCADOS</v>
      </c>
      <c r="AG18" s="72" t="str">
        <f t="shared" si="8"/>
        <v>VALORES NO COLOCADOS</v>
      </c>
      <c r="AH18" s="73"/>
      <c r="AI18" s="134"/>
      <c r="AJ18" s="75" t="str">
        <f t="shared" si="9"/>
        <v>Actividad no programada</v>
      </c>
      <c r="AK18" s="133"/>
      <c r="AL18" s="74"/>
      <c r="AM18" s="134"/>
      <c r="AN18" s="75" t="str">
        <f t="shared" si="10"/>
        <v>Actividad no programada</v>
      </c>
      <c r="AO18" s="133"/>
      <c r="AP18" s="74"/>
      <c r="AQ18" s="134"/>
      <c r="AR18" s="75" t="str">
        <f t="shared" si="11"/>
        <v>Actividad no programada</v>
      </c>
      <c r="AS18" s="133"/>
      <c r="AT18" s="76" t="str">
        <f t="shared" si="12"/>
        <v>VALORES NO COLOCADOS</v>
      </c>
      <c r="AU18" s="74"/>
      <c r="AV18" s="134"/>
      <c r="AW18" s="75" t="str">
        <f t="shared" si="13"/>
        <v>Actividad no programada</v>
      </c>
      <c r="AX18" s="133"/>
      <c r="AY18" s="74"/>
      <c r="AZ18" s="134"/>
      <c r="BA18" s="75" t="str">
        <f t="shared" si="14"/>
        <v>Actividad no programada</v>
      </c>
      <c r="BB18" s="133"/>
      <c r="BC18" s="74"/>
      <c r="BD18" s="2"/>
      <c r="BE18" s="75" t="str">
        <f t="shared" si="15"/>
        <v>Actividad no programada</v>
      </c>
      <c r="BF18" s="136"/>
      <c r="BG18" s="77" t="str">
        <f t="shared" si="16"/>
        <v>VALORES NO COLOCADOS</v>
      </c>
      <c r="BH18" s="78" t="str">
        <f t="shared" si="17"/>
        <v>VALORES NO COLOCADOS</v>
      </c>
      <c r="BI18" s="79" t="str">
        <f t="shared" si="18"/>
        <v>VALORES NO COLOCADOS</v>
      </c>
      <c r="BJ18" s="80"/>
    </row>
    <row r="19" spans="1:62" ht="104.25" customHeight="1" thickBot="1" x14ac:dyDescent="0.3">
      <c r="A19" s="60"/>
      <c r="B19" s="61">
        <v>6</v>
      </c>
      <c r="C19" s="88"/>
      <c r="D19" s="63"/>
      <c r="E19" s="64"/>
      <c r="F19" s="82"/>
      <c r="G19" s="89"/>
      <c r="H19" s="14"/>
      <c r="I19" s="91" t="str">
        <f t="shared" si="0"/>
        <v>Actividad no programada</v>
      </c>
      <c r="J19" s="130"/>
      <c r="K19" s="90"/>
      <c r="L19" s="14"/>
      <c r="M19" s="91" t="str">
        <f t="shared" si="1"/>
        <v>Actividad no programada</v>
      </c>
      <c r="N19" s="14"/>
      <c r="O19" s="90"/>
      <c r="P19" s="14"/>
      <c r="Q19" s="91" t="str">
        <f t="shared" si="2"/>
        <v>Actividad no programada</v>
      </c>
      <c r="R19" s="14"/>
      <c r="S19" s="92" t="str">
        <f t="shared" si="3"/>
        <v>VALORES NO COLOCADOS</v>
      </c>
      <c r="T19" s="90"/>
      <c r="U19" s="130"/>
      <c r="V19" s="91" t="str">
        <f t="shared" si="4"/>
        <v>Actividad no programada</v>
      </c>
      <c r="W19" s="130"/>
      <c r="X19" s="90"/>
      <c r="Y19" s="130"/>
      <c r="Z19" s="91" t="str">
        <f t="shared" si="5"/>
        <v>Actividad no programada</v>
      </c>
      <c r="AA19" s="130"/>
      <c r="AB19" s="90"/>
      <c r="AC19" s="130"/>
      <c r="AD19" s="91" t="str">
        <f t="shared" si="6"/>
        <v>Actividad no programada</v>
      </c>
      <c r="AE19" s="2"/>
      <c r="AF19" s="71" t="str">
        <f t="shared" si="7"/>
        <v>VALORES NO COLOCADOS</v>
      </c>
      <c r="AG19" s="72" t="str">
        <f t="shared" si="8"/>
        <v>VALORES NO COLOCADOS</v>
      </c>
      <c r="AH19" s="86"/>
      <c r="AI19" s="2"/>
      <c r="AJ19" s="75" t="str">
        <f t="shared" si="9"/>
        <v>Actividad no programada</v>
      </c>
      <c r="AK19" s="2"/>
      <c r="AL19" s="86"/>
      <c r="AM19" s="2"/>
      <c r="AN19" s="75" t="str">
        <f t="shared" si="10"/>
        <v>Actividad no programada</v>
      </c>
      <c r="AO19" s="2"/>
      <c r="AP19" s="86"/>
      <c r="AQ19" s="2"/>
      <c r="AR19" s="75" t="str">
        <f t="shared" si="11"/>
        <v>Actividad no programada</v>
      </c>
      <c r="AS19" s="2"/>
      <c r="AT19" s="76" t="str">
        <f t="shared" si="12"/>
        <v>VALORES NO COLOCADOS</v>
      </c>
      <c r="AU19" s="86"/>
      <c r="AV19" s="2"/>
      <c r="AW19" s="75" t="str">
        <f t="shared" si="13"/>
        <v>Actividad no programada</v>
      </c>
      <c r="AX19" s="133"/>
      <c r="AY19" s="74"/>
      <c r="AZ19" s="134"/>
      <c r="BA19" s="75" t="str">
        <f t="shared" si="14"/>
        <v>Actividad no programada</v>
      </c>
      <c r="BB19" s="133"/>
      <c r="BC19" s="74"/>
      <c r="BD19" s="2"/>
      <c r="BE19" s="75" t="str">
        <f t="shared" si="15"/>
        <v>Actividad no programada</v>
      </c>
      <c r="BF19" s="136"/>
      <c r="BG19" s="77" t="str">
        <f t="shared" si="16"/>
        <v>VALORES NO COLOCADOS</v>
      </c>
      <c r="BH19" s="78" t="str">
        <f t="shared" si="17"/>
        <v>VALORES NO COLOCADOS</v>
      </c>
      <c r="BI19" s="79" t="str">
        <f t="shared" si="18"/>
        <v>VALORES NO COLOCADOS</v>
      </c>
      <c r="BJ19" s="93"/>
    </row>
    <row r="20" spans="1:62" ht="104.25" customHeight="1" thickBot="1" x14ac:dyDescent="0.3">
      <c r="A20" s="60"/>
      <c r="B20" s="61">
        <v>7</v>
      </c>
      <c r="C20" s="88"/>
      <c r="D20" s="63"/>
      <c r="E20" s="64"/>
      <c r="F20" s="82"/>
      <c r="G20" s="86"/>
      <c r="H20" s="3"/>
      <c r="I20" s="85" t="str">
        <f t="shared" si="0"/>
        <v>Actividad no programada</v>
      </c>
      <c r="J20" s="2"/>
      <c r="K20" s="86"/>
      <c r="L20" s="3"/>
      <c r="M20" s="85" t="str">
        <f t="shared" si="1"/>
        <v>Actividad no programada</v>
      </c>
      <c r="N20" s="3"/>
      <c r="O20" s="86"/>
      <c r="P20" s="3"/>
      <c r="Q20" s="85" t="str">
        <f t="shared" si="2"/>
        <v>Actividad no programada</v>
      </c>
      <c r="R20" s="3"/>
      <c r="S20" s="87" t="str">
        <f t="shared" si="3"/>
        <v>VALORES NO COLOCADOS</v>
      </c>
      <c r="T20" s="86"/>
      <c r="U20" s="2"/>
      <c r="V20" s="85" t="str">
        <f t="shared" si="4"/>
        <v>Actividad no programada</v>
      </c>
      <c r="W20" s="2"/>
      <c r="X20" s="86"/>
      <c r="Y20" s="2"/>
      <c r="Z20" s="85" t="str">
        <f t="shared" si="5"/>
        <v>Actividad no programada</v>
      </c>
      <c r="AA20" s="2"/>
      <c r="AB20" s="86"/>
      <c r="AC20" s="2"/>
      <c r="AD20" s="85" t="str">
        <f t="shared" si="6"/>
        <v>Actividad no programada</v>
      </c>
      <c r="AE20" s="2"/>
      <c r="AF20" s="71" t="str">
        <f t="shared" si="7"/>
        <v>VALORES NO COLOCADOS</v>
      </c>
      <c r="AG20" s="72" t="str">
        <f t="shared" si="8"/>
        <v>VALORES NO COLOCADOS</v>
      </c>
      <c r="AH20" s="86"/>
      <c r="AI20" s="2"/>
      <c r="AJ20" s="75" t="str">
        <f t="shared" si="9"/>
        <v>Actividad no programada</v>
      </c>
      <c r="AK20" s="2"/>
      <c r="AL20" s="86"/>
      <c r="AM20" s="2"/>
      <c r="AN20" s="75" t="str">
        <f t="shared" si="10"/>
        <v>Actividad no programada</v>
      </c>
      <c r="AO20" s="2"/>
      <c r="AP20" s="86"/>
      <c r="AQ20" s="2"/>
      <c r="AR20" s="75" t="str">
        <f t="shared" si="11"/>
        <v>Actividad no programada</v>
      </c>
      <c r="AS20" s="2"/>
      <c r="AT20" s="76" t="str">
        <f t="shared" si="12"/>
        <v>VALORES NO COLOCADOS</v>
      </c>
      <c r="AU20" s="86"/>
      <c r="AV20" s="2"/>
      <c r="AW20" s="75" t="str">
        <f t="shared" si="13"/>
        <v>Actividad no programada</v>
      </c>
      <c r="AX20" s="133"/>
      <c r="AY20" s="74"/>
      <c r="AZ20" s="134"/>
      <c r="BA20" s="75" t="str">
        <f t="shared" si="14"/>
        <v>Actividad no programada</v>
      </c>
      <c r="BB20" s="133"/>
      <c r="BC20" s="74"/>
      <c r="BD20" s="2"/>
      <c r="BE20" s="75" t="str">
        <f t="shared" si="15"/>
        <v>Actividad no programada</v>
      </c>
      <c r="BF20" s="136"/>
      <c r="BG20" s="77" t="str">
        <f t="shared" si="16"/>
        <v>VALORES NO COLOCADOS</v>
      </c>
      <c r="BH20" s="78" t="str">
        <f t="shared" si="17"/>
        <v>VALORES NO COLOCADOS</v>
      </c>
      <c r="BI20" s="79" t="str">
        <f t="shared" si="18"/>
        <v>VALORES NO COLOCADOS</v>
      </c>
      <c r="BJ20" s="93"/>
    </row>
    <row r="21" spans="1:62" ht="104.25" customHeight="1" thickBot="1" x14ac:dyDescent="0.3">
      <c r="A21" s="60"/>
      <c r="B21" s="61">
        <v>8</v>
      </c>
      <c r="C21" s="88"/>
      <c r="D21" s="63"/>
      <c r="E21" s="64"/>
      <c r="F21" s="82"/>
      <c r="G21" s="86"/>
      <c r="H21" s="3"/>
      <c r="I21" s="85" t="str">
        <f t="shared" si="0"/>
        <v>Actividad no programada</v>
      </c>
      <c r="J21" s="2"/>
      <c r="K21" s="86"/>
      <c r="L21" s="3"/>
      <c r="M21" s="85" t="str">
        <f t="shared" si="1"/>
        <v>Actividad no programada</v>
      </c>
      <c r="N21" s="3"/>
      <c r="O21" s="86"/>
      <c r="P21" s="3"/>
      <c r="Q21" s="85" t="str">
        <f t="shared" si="2"/>
        <v>Actividad no programada</v>
      </c>
      <c r="R21" s="3"/>
      <c r="S21" s="87" t="str">
        <f t="shared" si="3"/>
        <v>VALORES NO COLOCADOS</v>
      </c>
      <c r="T21" s="86"/>
      <c r="U21" s="2"/>
      <c r="V21" s="85" t="str">
        <f t="shared" si="4"/>
        <v>Actividad no programada</v>
      </c>
      <c r="W21" s="2"/>
      <c r="X21" s="86"/>
      <c r="Y21" s="2"/>
      <c r="Z21" s="85" t="str">
        <f t="shared" si="5"/>
        <v>Actividad no programada</v>
      </c>
      <c r="AA21" s="2"/>
      <c r="AB21" s="86"/>
      <c r="AC21" s="2"/>
      <c r="AD21" s="85" t="str">
        <f t="shared" si="6"/>
        <v>Actividad no programada</v>
      </c>
      <c r="AE21" s="2"/>
      <c r="AF21" s="71" t="str">
        <f t="shared" si="7"/>
        <v>VALORES NO COLOCADOS</v>
      </c>
      <c r="AG21" s="72" t="str">
        <f t="shared" si="8"/>
        <v>VALORES NO COLOCADOS</v>
      </c>
      <c r="AH21" s="86"/>
      <c r="AI21" s="2"/>
      <c r="AJ21" s="75" t="str">
        <f t="shared" si="9"/>
        <v>Actividad no programada</v>
      </c>
      <c r="AK21" s="2"/>
      <c r="AL21" s="86"/>
      <c r="AM21" s="2"/>
      <c r="AN21" s="75" t="str">
        <f t="shared" si="10"/>
        <v>Actividad no programada</v>
      </c>
      <c r="AO21" s="2"/>
      <c r="AP21" s="86"/>
      <c r="AQ21" s="2"/>
      <c r="AR21" s="75" t="str">
        <f t="shared" si="11"/>
        <v>Actividad no programada</v>
      </c>
      <c r="AS21" s="2"/>
      <c r="AT21" s="76" t="str">
        <f t="shared" si="12"/>
        <v>VALORES NO COLOCADOS</v>
      </c>
      <c r="AU21" s="86"/>
      <c r="AV21" s="2"/>
      <c r="AW21" s="75" t="str">
        <f t="shared" si="13"/>
        <v>Actividad no programada</v>
      </c>
      <c r="AX21" s="133"/>
      <c r="AY21" s="74"/>
      <c r="AZ21" s="134"/>
      <c r="BA21" s="75" t="str">
        <f t="shared" si="14"/>
        <v>Actividad no programada</v>
      </c>
      <c r="BB21" s="133"/>
      <c r="BC21" s="74"/>
      <c r="BD21" s="2"/>
      <c r="BE21" s="75" t="str">
        <f t="shared" si="15"/>
        <v>Actividad no programada</v>
      </c>
      <c r="BF21" s="136"/>
      <c r="BG21" s="77" t="str">
        <f t="shared" si="16"/>
        <v>VALORES NO COLOCADOS</v>
      </c>
      <c r="BH21" s="78" t="str">
        <f t="shared" si="17"/>
        <v>VALORES NO COLOCADOS</v>
      </c>
      <c r="BI21" s="79" t="str">
        <f t="shared" si="18"/>
        <v>VALORES NO COLOCADOS</v>
      </c>
      <c r="BJ21" s="93"/>
    </row>
    <row r="22" spans="1:62" ht="38.25" customHeight="1" thickBot="1" x14ac:dyDescent="0.3">
      <c r="B22" s="94"/>
      <c r="C22" s="95" t="s">
        <v>28</v>
      </c>
      <c r="D22" s="96"/>
      <c r="E22" s="97"/>
      <c r="F22" s="98"/>
      <c r="G22" s="99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100" t="str">
        <f>IF(COUNTIF(S23:S27,"100%")&gt;0,"100%","VALORES NO COLOCADOS")</f>
        <v>VALORES NO COLOCADOS</v>
      </c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101"/>
      <c r="AF22" s="102" t="str">
        <f>IF(COUNTIF(AF23:AF27,"100%")&gt;0,"100%","VALORES NO COLOCADOS")</f>
        <v>VALORES NO COLOCADOS</v>
      </c>
      <c r="AG22" s="103" t="str">
        <f>IF(COUNTIF(AG23:AG27,"100%")&gt;0,"100%","VALORES NO COLOCADOS")</f>
        <v>VALORES NO COLOCADOS</v>
      </c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3" t="str">
        <f>IF(COUNTIF(AT23:AT27,"100%")&gt;0,"100%","VALORES NO COLOCADOS")</f>
        <v>VALORES NO COLOCADOS</v>
      </c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5" t="str">
        <f>IF(COUNTIF(BG23:BG27,"100%")&gt;0,"100%","VALORES NO COLOCADOS")</f>
        <v>VALORES NO COLOCADOS</v>
      </c>
      <c r="BH22" s="102" t="str">
        <f>IF(COUNTIF(BH23:BH27,"100%")&gt;0,"100%","VALORES NO COLOCADOS")</f>
        <v>VALORES NO COLOCADOS</v>
      </c>
      <c r="BI22" s="103" t="str">
        <f>IF(COUNTIF(BI23:BI27,"100%")&gt;0,"100%","VALORES NO COLOCADOS")</f>
        <v>VALORES NO COLOCADOS</v>
      </c>
      <c r="BJ22" s="106"/>
    </row>
    <row r="23" spans="1:62" ht="108" customHeight="1" x14ac:dyDescent="0.25">
      <c r="A23" s="86"/>
      <c r="B23" s="107">
        <v>1</v>
      </c>
      <c r="C23" s="108"/>
      <c r="D23" s="109"/>
      <c r="E23" s="69"/>
      <c r="F23" s="109"/>
      <c r="G23" s="110" t="s">
        <v>31</v>
      </c>
      <c r="H23" s="6"/>
      <c r="I23" s="111" t="str">
        <f>IF(H23&gt;=1,"100%","0")</f>
        <v>0</v>
      </c>
      <c r="J23" s="11"/>
      <c r="K23" s="110" t="s">
        <v>31</v>
      </c>
      <c r="L23" s="6"/>
      <c r="M23" s="111" t="str">
        <f>IF(L23&gt;=1,"100%","0")</f>
        <v>0</v>
      </c>
      <c r="N23" s="11"/>
      <c r="O23" s="110" t="s">
        <v>31</v>
      </c>
      <c r="P23" s="6"/>
      <c r="Q23" s="111" t="str">
        <f>IF(P23&gt;=1,"100%","0")</f>
        <v>0</v>
      </c>
      <c r="R23" s="6"/>
      <c r="S23" s="112" t="str">
        <f>IF(OR(I23="100%",M23="100%",Q23="100%"),"100%","VALORES NO COLOCADOS")</f>
        <v>VALORES NO COLOCADOS</v>
      </c>
      <c r="T23" s="110" t="s">
        <v>31</v>
      </c>
      <c r="U23" s="6"/>
      <c r="V23" s="111" t="str">
        <f>IF(U23&gt;=1,"100%","0")</f>
        <v>0</v>
      </c>
      <c r="W23" s="6"/>
      <c r="X23" s="110" t="s">
        <v>31</v>
      </c>
      <c r="Y23" s="6"/>
      <c r="Z23" s="111" t="str">
        <f>IF(Y23&gt;=1,"100%","0")</f>
        <v>0</v>
      </c>
      <c r="AA23" s="6"/>
      <c r="AB23" s="110" t="s">
        <v>31</v>
      </c>
      <c r="AC23" s="6"/>
      <c r="AD23" s="111" t="str">
        <f>IF(AC23&gt;=1,"100%","0")</f>
        <v>0</v>
      </c>
      <c r="AE23" s="12"/>
      <c r="AF23" s="113" t="str">
        <f>IF(OR(V23="100%",Z23="100%",AD23="100%"),"100%","VALORES NO COLOCADOS")</f>
        <v>VALORES NO COLOCADOS</v>
      </c>
      <c r="AG23" s="72" t="str">
        <f>IF(OR(S23="100%",AF23="100%"),"100%","VALORES NO COLOCADOS")</f>
        <v>VALORES NO COLOCADOS</v>
      </c>
      <c r="AH23" s="114" t="s">
        <v>31</v>
      </c>
      <c r="AI23" s="3"/>
      <c r="AJ23" s="115" t="str">
        <f>IF(AI23&gt;=1,"100%","0")</f>
        <v>0</v>
      </c>
      <c r="AK23" s="3"/>
      <c r="AL23" s="114" t="s">
        <v>31</v>
      </c>
      <c r="AM23" s="3"/>
      <c r="AN23" s="115" t="str">
        <f>IF(AM23&gt;=1,"100%","0")</f>
        <v>0</v>
      </c>
      <c r="AO23" s="3"/>
      <c r="AP23" s="114" t="s">
        <v>31</v>
      </c>
      <c r="AQ23" s="3"/>
      <c r="AR23" s="115" t="str">
        <f>IF(AQ23&gt;=1,"100%","0")</f>
        <v>0</v>
      </c>
      <c r="AS23" s="3"/>
      <c r="AT23" s="116" t="str">
        <f>IF(OR(AJ23="100%",AN23="100%",AR23="100%"),"100%","VALORES NO COLOCADOS")</f>
        <v>VALORES NO COLOCADOS</v>
      </c>
      <c r="AU23" s="114" t="s">
        <v>31</v>
      </c>
      <c r="AV23" s="3"/>
      <c r="AW23" s="115" t="str">
        <f>IF(AV23&gt;=1,"100%","0")</f>
        <v>0</v>
      </c>
      <c r="AX23" s="3"/>
      <c r="AY23" s="114" t="s">
        <v>31</v>
      </c>
      <c r="AZ23" s="3"/>
      <c r="BA23" s="115" t="str">
        <f>IF(AZ23&gt;=1,"100%","0")</f>
        <v>0</v>
      </c>
      <c r="BB23" s="3"/>
      <c r="BC23" s="114" t="s">
        <v>31</v>
      </c>
      <c r="BD23" s="3"/>
      <c r="BE23" s="115" t="str">
        <f>IF(BD23&gt;=1,"100%","0")</f>
        <v>0</v>
      </c>
      <c r="BF23" s="3"/>
      <c r="BG23" s="116" t="str">
        <f>IF(OR(AW23="100%",BA23="100%",BE23="100%"),"100%","VALORES NO COLOCADOS")</f>
        <v>VALORES NO COLOCADOS</v>
      </c>
      <c r="BH23" s="72" t="str">
        <f>IF(OR(AT23="100%",BG23="100%"),"100%","VALORES NO COLOCADOS")</f>
        <v>VALORES NO COLOCADOS</v>
      </c>
      <c r="BI23" s="117" t="str">
        <f>IF(OR(AG23="100%",BH23="100%"),"100%","VALORES NO COLOCADOS")</f>
        <v>VALORES NO COLOCADOS</v>
      </c>
      <c r="BJ23" s="118"/>
    </row>
    <row r="24" spans="1:62" ht="108" customHeight="1" x14ac:dyDescent="0.25">
      <c r="A24" s="86"/>
      <c r="B24" s="107">
        <v>2</v>
      </c>
      <c r="C24" s="81"/>
      <c r="D24" s="88"/>
      <c r="E24" s="86"/>
      <c r="F24" s="88"/>
      <c r="G24" s="114" t="s">
        <v>31</v>
      </c>
      <c r="H24" s="3"/>
      <c r="I24" s="119" t="str">
        <f>IF(H24&gt;=1,"100%","0")</f>
        <v>0</v>
      </c>
      <c r="J24" s="2"/>
      <c r="K24" s="114" t="s">
        <v>31</v>
      </c>
      <c r="L24" s="3"/>
      <c r="M24" s="119" t="str">
        <f>IF(L24&gt;=1,"100%","0")</f>
        <v>0</v>
      </c>
      <c r="N24" s="2"/>
      <c r="O24" s="114" t="s">
        <v>31</v>
      </c>
      <c r="P24" s="3"/>
      <c r="Q24" s="119" t="str">
        <f>IF(P24&gt;=1,"100%","0")</f>
        <v>0</v>
      </c>
      <c r="R24" s="3"/>
      <c r="S24" s="120" t="str">
        <f>IF(OR(I24="100%",M24="100%",Q24="100%"),"100%","VALORES NO COLOCADOS")</f>
        <v>VALORES NO COLOCADOS</v>
      </c>
      <c r="T24" s="114" t="s">
        <v>31</v>
      </c>
      <c r="U24" s="3"/>
      <c r="V24" s="119" t="str">
        <f>IF(U24&gt;=1,"100%","0")</f>
        <v>0</v>
      </c>
      <c r="W24" s="3"/>
      <c r="X24" s="114" t="s">
        <v>31</v>
      </c>
      <c r="Y24" s="3"/>
      <c r="Z24" s="119" t="str">
        <f>IF(Y24&gt;=1,"100%","0")</f>
        <v>0</v>
      </c>
      <c r="AA24" s="3"/>
      <c r="AB24" s="114" t="s">
        <v>31</v>
      </c>
      <c r="AC24" s="3"/>
      <c r="AD24" s="119" t="str">
        <f>IF(AC24&gt;=1,"100%","0")</f>
        <v>0</v>
      </c>
      <c r="AE24" s="13"/>
      <c r="AF24" s="113" t="str">
        <f>IF(OR(V24="100%",Z24="100%",AD24="100%"),"100%","VALORES NO COLOCADOS")</f>
        <v>VALORES NO COLOCADOS</v>
      </c>
      <c r="AG24" s="72" t="str">
        <f>IF(OR(S24="100%",AF24="100%"),"100%","VALORES NO COLOCADOS")</f>
        <v>VALORES NO COLOCADOS</v>
      </c>
      <c r="AH24" s="114" t="s">
        <v>31</v>
      </c>
      <c r="AI24" s="3"/>
      <c r="AJ24" s="115" t="str">
        <f>IF(AI24&gt;=1,"100%","0")</f>
        <v>0</v>
      </c>
      <c r="AK24" s="3"/>
      <c r="AL24" s="114" t="s">
        <v>31</v>
      </c>
      <c r="AM24" s="3"/>
      <c r="AN24" s="115" t="str">
        <f>IF(AM24&gt;=1,"100%","0")</f>
        <v>0</v>
      </c>
      <c r="AO24" s="3"/>
      <c r="AP24" s="114" t="s">
        <v>31</v>
      </c>
      <c r="AQ24" s="3"/>
      <c r="AR24" s="115" t="str">
        <f>IF(AQ24&gt;=1,"100%","0")</f>
        <v>0</v>
      </c>
      <c r="AS24" s="3"/>
      <c r="AT24" s="116" t="str">
        <f>IF(OR(AJ24="100%",AN24="100%",AR24="100%"),"100%","VALORES NO COLOCADOS")</f>
        <v>VALORES NO COLOCADOS</v>
      </c>
      <c r="AU24" s="114" t="s">
        <v>31</v>
      </c>
      <c r="AV24" s="3"/>
      <c r="AW24" s="115" t="str">
        <f>IF(AV24&gt;=1,"100%","0")</f>
        <v>0</v>
      </c>
      <c r="AX24" s="3"/>
      <c r="AY24" s="114" t="s">
        <v>31</v>
      </c>
      <c r="AZ24" s="3"/>
      <c r="BA24" s="115" t="str">
        <f>IF(AZ24&gt;=1,"100%","0")</f>
        <v>0</v>
      </c>
      <c r="BB24" s="3"/>
      <c r="BC24" s="114" t="s">
        <v>31</v>
      </c>
      <c r="BD24" s="3"/>
      <c r="BE24" s="115" t="str">
        <f>IF(BD24&gt;=1,"100%","0")</f>
        <v>0</v>
      </c>
      <c r="BF24" s="3"/>
      <c r="BG24" s="116" t="str">
        <f>IF(OR(AW24="100%",BA24="100%",BE24="100%"),"100%","VALORES NO COLOCADOS")</f>
        <v>VALORES NO COLOCADOS</v>
      </c>
      <c r="BH24" s="72" t="str">
        <f>IF(OR(AT24="100%",BG24="100%"),"100%","VALORES NO COLOCADOS")</f>
        <v>VALORES NO COLOCADOS</v>
      </c>
      <c r="BI24" s="117" t="str">
        <f>IF(OR(AG24="100%",BH24="100%"),"100%","VALORES NO COLOCADOS")</f>
        <v>VALORES NO COLOCADOS</v>
      </c>
      <c r="BJ24" s="118"/>
    </row>
    <row r="25" spans="1:62" ht="108" customHeight="1" x14ac:dyDescent="0.25">
      <c r="A25" s="86"/>
      <c r="B25" s="107">
        <v>3</v>
      </c>
      <c r="C25" s="81"/>
      <c r="D25" s="88"/>
      <c r="E25" s="86"/>
      <c r="F25" s="88"/>
      <c r="G25" s="114" t="s">
        <v>31</v>
      </c>
      <c r="H25" s="3"/>
      <c r="I25" s="119" t="str">
        <f>IF(H25&gt;=1,"100%","0")</f>
        <v>0</v>
      </c>
      <c r="J25" s="2"/>
      <c r="K25" s="114" t="s">
        <v>31</v>
      </c>
      <c r="L25" s="3"/>
      <c r="M25" s="119" t="str">
        <f>IF(L25&gt;=1,"100%","0")</f>
        <v>0</v>
      </c>
      <c r="N25" s="2"/>
      <c r="O25" s="114" t="s">
        <v>31</v>
      </c>
      <c r="P25" s="3"/>
      <c r="Q25" s="119" t="str">
        <f>IF(P25&gt;=1,"100%","0")</f>
        <v>0</v>
      </c>
      <c r="R25" s="3"/>
      <c r="S25" s="120" t="str">
        <f>IF(OR(I25="100%",M25="100%",Q25="100%"),"100%","VALORES NO COLOCADOS")</f>
        <v>VALORES NO COLOCADOS</v>
      </c>
      <c r="T25" s="114" t="s">
        <v>31</v>
      </c>
      <c r="U25" s="3"/>
      <c r="V25" s="119" t="str">
        <f>IF(U25&gt;=1,"100%","0")</f>
        <v>0</v>
      </c>
      <c r="W25" s="3"/>
      <c r="X25" s="114" t="s">
        <v>31</v>
      </c>
      <c r="Y25" s="3"/>
      <c r="Z25" s="119" t="str">
        <f>IF(Y25&gt;=1,"100%","0")</f>
        <v>0</v>
      </c>
      <c r="AA25" s="3"/>
      <c r="AB25" s="114" t="s">
        <v>31</v>
      </c>
      <c r="AC25" s="3"/>
      <c r="AD25" s="119" t="str">
        <f>IF(AC25&gt;=1,"100%","0")</f>
        <v>0</v>
      </c>
      <c r="AE25" s="13"/>
      <c r="AF25" s="113" t="str">
        <f>IF(OR(V25="100%",Z25="100%",AD25="100%"),"100%","VALORES NO COLOCADOS")</f>
        <v>VALORES NO COLOCADOS</v>
      </c>
      <c r="AG25" s="72" t="str">
        <f>IF(OR(S25="100%",AF25="100%"),"100%","VALORES NO COLOCADOS")</f>
        <v>VALORES NO COLOCADOS</v>
      </c>
      <c r="AH25" s="114" t="s">
        <v>31</v>
      </c>
      <c r="AI25" s="3"/>
      <c r="AJ25" s="115" t="str">
        <f>IF(AI25&gt;=1,"100%","0")</f>
        <v>0</v>
      </c>
      <c r="AK25" s="3"/>
      <c r="AL25" s="114" t="s">
        <v>31</v>
      </c>
      <c r="AM25" s="3"/>
      <c r="AN25" s="115" t="str">
        <f>IF(AM25&gt;=1,"100%","0")</f>
        <v>0</v>
      </c>
      <c r="AO25" s="3"/>
      <c r="AP25" s="114" t="s">
        <v>31</v>
      </c>
      <c r="AQ25" s="3"/>
      <c r="AR25" s="115" t="str">
        <f>IF(AQ25&gt;=1,"100%","0")</f>
        <v>0</v>
      </c>
      <c r="AS25" s="3"/>
      <c r="AT25" s="116" t="str">
        <f>IF(OR(AJ25="100%",AN25="100%",AR25="100%"),"100%","VALORES NO COLOCADOS")</f>
        <v>VALORES NO COLOCADOS</v>
      </c>
      <c r="AU25" s="114" t="s">
        <v>31</v>
      </c>
      <c r="AV25" s="3"/>
      <c r="AW25" s="115" t="str">
        <f>IF(AV25&gt;=1,"100%","0")</f>
        <v>0</v>
      </c>
      <c r="AX25" s="3"/>
      <c r="AY25" s="114" t="s">
        <v>31</v>
      </c>
      <c r="AZ25" s="3"/>
      <c r="BA25" s="115" t="str">
        <f>IF(AZ25&gt;=1,"100%","0")</f>
        <v>0</v>
      </c>
      <c r="BB25" s="3"/>
      <c r="BC25" s="114" t="s">
        <v>31</v>
      </c>
      <c r="BD25" s="3"/>
      <c r="BE25" s="115" t="str">
        <f>IF(BD25&gt;=1,"100%","0")</f>
        <v>0</v>
      </c>
      <c r="BF25" s="3"/>
      <c r="BG25" s="116" t="str">
        <f>IF(OR(AW25="100%",BA25="100%",BE25="100%"),"100%","VALORES NO COLOCADOS")</f>
        <v>VALORES NO COLOCADOS</v>
      </c>
      <c r="BH25" s="72" t="str">
        <f>IF(OR(AT25="100%",BG25="100%"),"100%","VALORES NO COLOCADOS")</f>
        <v>VALORES NO COLOCADOS</v>
      </c>
      <c r="BI25" s="117" t="str">
        <f>IF(OR(AG25="100%",BH25="100%"),"100%","VALORES NO COLOCADOS")</f>
        <v>VALORES NO COLOCADOS</v>
      </c>
      <c r="BJ25" s="118"/>
    </row>
    <row r="26" spans="1:62" ht="108" customHeight="1" x14ac:dyDescent="0.25">
      <c r="A26" s="86"/>
      <c r="B26" s="107">
        <v>4</v>
      </c>
      <c r="C26" s="81"/>
      <c r="D26" s="88"/>
      <c r="E26" s="86"/>
      <c r="F26" s="88"/>
      <c r="G26" s="114" t="s">
        <v>31</v>
      </c>
      <c r="H26" s="3"/>
      <c r="I26" s="119" t="str">
        <f>IF(H26&gt;=1,"100%","0")</f>
        <v>0</v>
      </c>
      <c r="J26" s="2"/>
      <c r="K26" s="114" t="s">
        <v>31</v>
      </c>
      <c r="L26" s="3"/>
      <c r="M26" s="119" t="str">
        <f>IF(L26&gt;=1,"100%","0")</f>
        <v>0</v>
      </c>
      <c r="N26" s="2"/>
      <c r="O26" s="114" t="s">
        <v>31</v>
      </c>
      <c r="P26" s="3"/>
      <c r="Q26" s="119" t="str">
        <f>IF(P26&gt;=1,"100%","0")</f>
        <v>0</v>
      </c>
      <c r="R26" s="3"/>
      <c r="S26" s="120" t="str">
        <f>IF(OR(I26="100%",M26="100%",Q26="100%"),"100%","VALORES NO COLOCADOS")</f>
        <v>VALORES NO COLOCADOS</v>
      </c>
      <c r="T26" s="114" t="s">
        <v>31</v>
      </c>
      <c r="U26" s="3"/>
      <c r="V26" s="119" t="str">
        <f>IF(U26&gt;=1,"100%","0")</f>
        <v>0</v>
      </c>
      <c r="W26" s="3"/>
      <c r="X26" s="114" t="s">
        <v>31</v>
      </c>
      <c r="Y26" s="3"/>
      <c r="Z26" s="119" t="str">
        <f>IF(Y26&gt;=1,"100%","0")</f>
        <v>0</v>
      </c>
      <c r="AA26" s="3"/>
      <c r="AB26" s="114" t="s">
        <v>31</v>
      </c>
      <c r="AC26" s="3"/>
      <c r="AD26" s="119" t="str">
        <f>IF(AC26&gt;=1,"100%","0")</f>
        <v>0</v>
      </c>
      <c r="AE26" s="13"/>
      <c r="AF26" s="113" t="str">
        <f>IF(OR(V26="100%",Z26="100%",AD26="100%"),"100%","VALORES NO COLOCADOS")</f>
        <v>VALORES NO COLOCADOS</v>
      </c>
      <c r="AG26" s="72" t="str">
        <f>IF(OR(S26="100%",AF26="100%"),"100%","VALORES NO COLOCADOS")</f>
        <v>VALORES NO COLOCADOS</v>
      </c>
      <c r="AH26" s="114" t="s">
        <v>31</v>
      </c>
      <c r="AI26" s="3"/>
      <c r="AJ26" s="115" t="str">
        <f>IF(AI26&gt;=1,"100%","0")</f>
        <v>0</v>
      </c>
      <c r="AK26" s="3"/>
      <c r="AL26" s="114" t="s">
        <v>31</v>
      </c>
      <c r="AM26" s="3"/>
      <c r="AN26" s="115" t="str">
        <f>IF(AM26&gt;=1,"100%","0")</f>
        <v>0</v>
      </c>
      <c r="AO26" s="3"/>
      <c r="AP26" s="114" t="s">
        <v>31</v>
      </c>
      <c r="AQ26" s="3"/>
      <c r="AR26" s="115" t="str">
        <f>IF(AQ26&gt;=1,"100%","0")</f>
        <v>0</v>
      </c>
      <c r="AS26" s="3"/>
      <c r="AT26" s="116" t="str">
        <f>IF(OR(AJ26="100%",AN26="100%",AR26="100%"),"100%","VALORES NO COLOCADOS")</f>
        <v>VALORES NO COLOCADOS</v>
      </c>
      <c r="AU26" s="114" t="s">
        <v>31</v>
      </c>
      <c r="AV26" s="3"/>
      <c r="AW26" s="115" t="str">
        <f>IF(AV26&gt;=1,"100%","0")</f>
        <v>0</v>
      </c>
      <c r="AX26" s="3"/>
      <c r="AY26" s="114" t="s">
        <v>31</v>
      </c>
      <c r="AZ26" s="3"/>
      <c r="BA26" s="115" t="str">
        <f>IF(AZ26&gt;=1,"100%","0")</f>
        <v>0</v>
      </c>
      <c r="BB26" s="3"/>
      <c r="BC26" s="114" t="s">
        <v>31</v>
      </c>
      <c r="BD26" s="3"/>
      <c r="BE26" s="115" t="str">
        <f>IF(BD26&gt;=1,"100%","0")</f>
        <v>0</v>
      </c>
      <c r="BF26" s="3"/>
      <c r="BG26" s="116" t="str">
        <f>IF(OR(AW26="100%",BA26="100%",BE26="100%"),"100%","VALORES NO COLOCADOS")</f>
        <v>VALORES NO COLOCADOS</v>
      </c>
      <c r="BH26" s="72" t="str">
        <f>IF(OR(AT26="100%",BG26="100%"),"100%","VALORES NO COLOCADOS")</f>
        <v>VALORES NO COLOCADOS</v>
      </c>
      <c r="BI26" s="117" t="str">
        <f>IF(OR(AG26="100%",BH26="100%"),"100%","VALORES NO COLOCADOS")</f>
        <v>VALORES NO COLOCADOS</v>
      </c>
      <c r="BJ26" s="118"/>
    </row>
    <row r="27" spans="1:62" ht="108" customHeight="1" thickBot="1" x14ac:dyDescent="0.3">
      <c r="A27" s="86"/>
      <c r="B27" s="107">
        <v>5</v>
      </c>
      <c r="C27" s="121"/>
      <c r="D27" s="122"/>
      <c r="E27" s="123"/>
      <c r="F27" s="122"/>
      <c r="G27" s="124" t="s">
        <v>31</v>
      </c>
      <c r="H27" s="9"/>
      <c r="I27" s="125" t="str">
        <f>IF(H27&gt;=1,"100%","0")</f>
        <v>0</v>
      </c>
      <c r="J27" s="8"/>
      <c r="K27" s="124" t="s">
        <v>31</v>
      </c>
      <c r="L27" s="9"/>
      <c r="M27" s="125" t="str">
        <f>IF(L27&gt;=1,"100%","0")</f>
        <v>0</v>
      </c>
      <c r="N27" s="8"/>
      <c r="O27" s="124" t="s">
        <v>31</v>
      </c>
      <c r="P27" s="9"/>
      <c r="Q27" s="125" t="str">
        <f>IF(P27&gt;=1,"100%","0")</f>
        <v>0</v>
      </c>
      <c r="R27" s="9"/>
      <c r="S27" s="126" t="str">
        <f>IF(OR(I27="100%",M27="100%",Q27="100%"),"100%","VALORES NO COLOCADOS")</f>
        <v>VALORES NO COLOCADOS</v>
      </c>
      <c r="T27" s="124" t="s">
        <v>31</v>
      </c>
      <c r="U27" s="9"/>
      <c r="V27" s="125" t="str">
        <f>IF(U27&gt;=1,"100%","0")</f>
        <v>0</v>
      </c>
      <c r="W27" s="9"/>
      <c r="X27" s="124" t="s">
        <v>31</v>
      </c>
      <c r="Y27" s="9"/>
      <c r="Z27" s="125" t="str">
        <f>IF(Y27&gt;=1,"100%","0")</f>
        <v>0</v>
      </c>
      <c r="AA27" s="9"/>
      <c r="AB27" s="124" t="s">
        <v>31</v>
      </c>
      <c r="AC27" s="9"/>
      <c r="AD27" s="125" t="str">
        <f>IF(AC27&gt;=1,"100%","0")</f>
        <v>0</v>
      </c>
      <c r="AE27" s="10"/>
      <c r="AF27" s="113" t="str">
        <f>IF(OR(V27="100%",Z27="100%",AD27="100%"),"100%","VALORES NO COLOCADOS")</f>
        <v>VALORES NO COLOCADOS</v>
      </c>
      <c r="AG27" s="72" t="str">
        <f>IF(OR(S27="100%",AF27="100%"),"100%","VALORES NO COLOCADOS")</f>
        <v>VALORES NO COLOCADOS</v>
      </c>
      <c r="AH27" s="114" t="s">
        <v>31</v>
      </c>
      <c r="AI27" s="3"/>
      <c r="AJ27" s="115" t="str">
        <f>IF(AI27&gt;=1,"100%","0")</f>
        <v>0</v>
      </c>
      <c r="AK27" s="3"/>
      <c r="AL27" s="114" t="s">
        <v>31</v>
      </c>
      <c r="AM27" s="3"/>
      <c r="AN27" s="115" t="str">
        <f>IF(AM27&gt;=1,"100%","0")</f>
        <v>0</v>
      </c>
      <c r="AO27" s="3"/>
      <c r="AP27" s="114" t="s">
        <v>31</v>
      </c>
      <c r="AQ27" s="3"/>
      <c r="AR27" s="115" t="str">
        <f>IF(AQ27&gt;=1,"100%","0")</f>
        <v>0</v>
      </c>
      <c r="AS27" s="3"/>
      <c r="AT27" s="116" t="str">
        <f>IF(OR(AJ27="100%",AN27="100%",AR27="100%"),"100%","VALORES NO COLOCADOS")</f>
        <v>VALORES NO COLOCADOS</v>
      </c>
      <c r="AU27" s="114" t="s">
        <v>31</v>
      </c>
      <c r="AV27" s="3"/>
      <c r="AW27" s="115" t="str">
        <f>IF(AV27&gt;=1,"100%","0")</f>
        <v>0</v>
      </c>
      <c r="AX27" s="3"/>
      <c r="AY27" s="114" t="s">
        <v>31</v>
      </c>
      <c r="AZ27" s="3"/>
      <c r="BA27" s="115" t="str">
        <f>IF(AZ27&gt;=1,"100%","0")</f>
        <v>0</v>
      </c>
      <c r="BB27" s="3"/>
      <c r="BC27" s="114" t="s">
        <v>31</v>
      </c>
      <c r="BD27" s="3"/>
      <c r="BE27" s="115" t="str">
        <f>IF(BD27&gt;=1,"100%","0")</f>
        <v>0</v>
      </c>
      <c r="BF27" s="3"/>
      <c r="BG27" s="116" t="str">
        <f>IF(OR(AW27="100%",BA27="100%",BE27="100%"),"100%","VALORES NO COLOCADOS")</f>
        <v>VALORES NO COLOCADOS</v>
      </c>
      <c r="BH27" s="72" t="str">
        <f>IF(OR(AT27="100%",BG27="100%"),"100%","VALORES NO COLOCADOS")</f>
        <v>VALORES NO COLOCADOS</v>
      </c>
      <c r="BI27" s="117" t="str">
        <f>IF(OR(AG27="100%",BH27="100%"),"100%","VALORES NO COLOCADOS")</f>
        <v>VALORES NO COLOCADOS</v>
      </c>
      <c r="BJ27" s="118"/>
    </row>
    <row r="28" spans="1:62" x14ac:dyDescent="0.25">
      <c r="C28" s="23"/>
      <c r="D28" s="23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  <row r="29" spans="1:62" x14ac:dyDescent="0.25">
      <c r="C29" s="23"/>
      <c r="D29" s="23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</row>
    <row r="30" spans="1:62" x14ac:dyDescent="0.25">
      <c r="C30" s="23"/>
      <c r="D30" s="23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</row>
    <row r="31" spans="1:62" x14ac:dyDescent="0.25">
      <c r="C31" s="23"/>
      <c r="D31" s="23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</row>
    <row r="32" spans="1:62" x14ac:dyDescent="0.25">
      <c r="C32" s="23"/>
      <c r="D32" s="23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</row>
    <row r="33" spans="3:15" x14ac:dyDescent="0.25">
      <c r="C33" s="23"/>
      <c r="D33" s="23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</row>
    <row r="34" spans="3:15" x14ac:dyDescent="0.25">
      <c r="C34" s="23"/>
      <c r="D34" s="23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</row>
    <row r="35" spans="3:15" x14ac:dyDescent="0.25">
      <c r="C35" s="23"/>
      <c r="D35" s="23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</row>
  </sheetData>
  <sheetProtection insertColumns="0" insertRows="0" deleteRows="0" selectLockedCells="1" sort="0"/>
  <mergeCells count="18">
    <mergeCell ref="T12:W12"/>
    <mergeCell ref="X12:AA12"/>
    <mergeCell ref="AB12:AE12"/>
    <mergeCell ref="F10:F13"/>
    <mergeCell ref="E10:E13"/>
    <mergeCell ref="D10:D13"/>
    <mergeCell ref="B10:B13"/>
    <mergeCell ref="G10:BI10"/>
    <mergeCell ref="AH12:AK12"/>
    <mergeCell ref="AL12:AO12"/>
    <mergeCell ref="AP12:AS12"/>
    <mergeCell ref="AU12:AX12"/>
    <mergeCell ref="AY12:BB12"/>
    <mergeCell ref="BC12:BF12"/>
    <mergeCell ref="C10:C13"/>
    <mergeCell ref="G12:J12"/>
    <mergeCell ref="K12:N12"/>
    <mergeCell ref="O12:R12"/>
  </mergeCells>
  <phoneticPr fontId="4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scale="28" orientation="landscape" horizont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 Beatriz Lemus de Avila</dc:creator>
  <cp:lastModifiedBy>Técnico Planificación</cp:lastModifiedBy>
  <cp:lastPrinted>2025-02-20T22:03:36Z</cp:lastPrinted>
  <dcterms:created xsi:type="dcterms:W3CDTF">2021-09-17T15:03:57Z</dcterms:created>
  <dcterms:modified xsi:type="dcterms:W3CDTF">2025-09-03T21:06:05Z</dcterms:modified>
</cp:coreProperties>
</file>