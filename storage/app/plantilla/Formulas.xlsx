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800" firstSheet="0" activeTab="0" autoFilterDateGrouping="1"/>
  </bookViews>
  <sheets>
    <sheet name="POA 2025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_(&quot;$&quot;* #,##0_);_(&quot;$&quot;* \(#,##0\);_(&quot;$&quot;* &quot;-&quot;??_);_(@_)"/>
    <numFmt numFmtId="166" formatCode="&quot;$&quot;#,##0.00;[Red]\-&quot;$&quot;#,##0.00"/>
    <numFmt numFmtId="167" formatCode="_(&quot;$&quot;* #,##0.00_);_(&quot;$&quot;* \(#,##0.00\);_(&quot;$&quot;* &quot;-&quot;??_);_(@_)"/>
  </numFmts>
  <fonts count="1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name val="Calibri"/>
      <family val="2"/>
      <sz val="8"/>
      <scheme val="minor"/>
    </font>
    <font>
      <name val="Times New Roman"/>
      <family val="1"/>
      <color theme="1"/>
      <sz val="11"/>
    </font>
    <font>
      <name val="Times New Roman"/>
      <family val="1"/>
      <b val="1"/>
      <color theme="1"/>
      <sz val="11"/>
    </font>
    <font>
      <name val="Times New Roman"/>
      <family val="1"/>
      <color rgb="FFFF0000"/>
      <sz val="11"/>
    </font>
    <font>
      <name val="Times New Roman"/>
      <family val="1"/>
      <b val="1"/>
      <color theme="0"/>
      <sz val="11"/>
    </font>
    <font>
      <name val="Times New Roman"/>
      <family val="1"/>
      <color theme="0"/>
      <sz val="11"/>
    </font>
    <font>
      <name val="Times New Roman"/>
      <family val="1"/>
      <b val="1"/>
      <color theme="8" tint="-0.249977111117893"/>
      <sz val="11"/>
    </font>
    <font>
      <name val="Times New Roman"/>
      <family val="1"/>
      <b val="1"/>
      <color theme="5" tint="0.3999755851924192"/>
      <sz val="11"/>
    </font>
    <font>
      <name val="Times New Roman"/>
      <family val="1"/>
      <b val="1"/>
      <color theme="5" tint="-0.249977111117893"/>
      <sz val="11"/>
    </font>
    <font>
      <name val="Times New Roman"/>
      <family val="1"/>
      <b val="1"/>
      <color theme="0"/>
      <sz val="16"/>
    </font>
    <font>
      <name val="Calibri"/>
      <charset val="1"/>
      <family val="2"/>
      <color rgb="FF000000"/>
      <sz val="11"/>
    </font>
    <font>
      <name val="Times New Roman"/>
      <family val="1"/>
      <color rgb="FF000000"/>
      <sz val="10"/>
    </font>
    <font>
      <name val="Times New Roman"/>
      <family val="1"/>
      <b val="1"/>
      <color theme="0"/>
      <sz val="12"/>
    </font>
    <font>
      <name val="Times New Roman"/>
      <family val="1"/>
      <color theme="1"/>
      <sz val="12"/>
    </font>
  </fonts>
  <fills count="24">
    <fill>
      <patternFill/>
    </fill>
    <fill>
      <patternFill patternType="gray125"/>
    </fill>
    <fill>
      <patternFill patternType="solid">
        <fgColor theme="3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rgb="FF00B0F0"/>
        <bgColor indexed="64"/>
      </patternFill>
    </fill>
  </fills>
  <borders count="5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theme="0" tint="-0.1499679555650502"/>
      </right>
      <top style="thin">
        <color indexed="64"/>
      </top>
      <bottom style="medium">
        <color theme="0" tint="-0.1499679555650502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theme="0" tint="-0.1499679555650502"/>
      </bottom>
      <diagonal/>
    </border>
    <border>
      <left style="medium">
        <color indexed="64"/>
      </left>
      <right/>
      <top/>
      <bottom style="medium">
        <color theme="0" tint="-0.1499679555650502"/>
      </bottom>
      <diagonal/>
    </border>
    <border>
      <left style="medium">
        <color theme="0" tint="-0.1499679555650502"/>
      </left>
      <right/>
      <top/>
      <bottom/>
      <diagonal/>
    </border>
    <border>
      <left/>
      <right/>
      <top style="thin">
        <color indexed="64"/>
      </top>
      <bottom style="medium">
        <color theme="0" tint="-0.1499679555650502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4">
    <xf numFmtId="0" fontId="1" fillId="0" borderId="0"/>
    <xf numFmtId="167" fontId="1" fillId="0" borderId="0"/>
    <xf numFmtId="9" fontId="1" fillId="0" borderId="0"/>
    <xf numFmtId="0" fontId="14" fillId="0" borderId="0"/>
  </cellStyleXfs>
  <cellXfs count="169">
    <xf numFmtId="0" fontId="0" fillId="0" borderId="0" pivotButton="0" quotePrefix="0" xfId="0"/>
    <xf numFmtId="1" fontId="5" fillId="0" borderId="1" applyAlignment="1" applyProtection="1" pivotButton="0" quotePrefix="0" xfId="0">
      <alignment horizontal="center" vertical="center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/>
      <protection locked="0" hidden="0"/>
    </xf>
    <xf numFmtId="9" fontId="5" fillId="0" borderId="1" applyAlignment="1" applyProtection="1" pivotButton="0" quotePrefix="0" xfId="2">
      <alignment horizontal="center" vertical="center"/>
      <protection locked="0" hidden="0"/>
    </xf>
    <xf numFmtId="1" fontId="5" fillId="0" borderId="19" applyAlignment="1" applyProtection="1" pivotButton="0" quotePrefix="0" xfId="0">
      <alignment horizontal="center" vertical="center"/>
      <protection locked="0" hidden="0"/>
    </xf>
    <xf numFmtId="0" fontId="5" fillId="0" borderId="19" applyAlignment="1" applyProtection="1" pivotButton="0" quotePrefix="0" xfId="0">
      <alignment horizontal="center" vertical="center"/>
      <protection locked="0" hidden="0"/>
    </xf>
    <xf numFmtId="9" fontId="5" fillId="0" borderId="19" applyAlignment="1" applyProtection="1" pivotButton="0" quotePrefix="0" xfId="2">
      <alignment horizontal="center" vertical="center"/>
      <protection locked="0" hidden="0"/>
    </xf>
    <xf numFmtId="0" fontId="5" fillId="0" borderId="24" applyAlignment="1" applyProtection="1" pivotButton="0" quotePrefix="0" xfId="0">
      <alignment horizontal="center" vertical="center" wrapText="1"/>
      <protection locked="0" hidden="0"/>
    </xf>
    <xf numFmtId="0" fontId="5" fillId="0" borderId="24" applyAlignment="1" applyProtection="1" pivotButton="0" quotePrefix="0" xfId="0">
      <alignment horizontal="center" vertical="center"/>
      <protection locked="0" hidden="0"/>
    </xf>
    <xf numFmtId="0" fontId="5" fillId="0" borderId="25" applyAlignment="1" applyProtection="1" pivotButton="0" quotePrefix="0" xfId="0">
      <alignment horizontal="center" vertical="center"/>
      <protection locked="0" hidden="0"/>
    </xf>
    <xf numFmtId="0" fontId="5" fillId="0" borderId="19" applyAlignment="1" applyProtection="1" pivotButton="0" quotePrefix="0" xfId="0">
      <alignment horizontal="center" vertical="center" wrapText="1"/>
      <protection locked="0" hidden="0"/>
    </xf>
    <xf numFmtId="0" fontId="5" fillId="0" borderId="20" applyAlignment="1" applyProtection="1" pivotButton="0" quotePrefix="0" xfId="0">
      <alignment horizontal="center" vertical="center"/>
      <protection locked="0" hidden="0"/>
    </xf>
    <xf numFmtId="0" fontId="5" fillId="0" borderId="22" applyAlignment="1" applyProtection="1" pivotButton="0" quotePrefix="0" xfId="0">
      <alignment horizontal="center" vertical="center"/>
      <protection locked="0" hidden="0"/>
    </xf>
    <xf numFmtId="0" fontId="5" fillId="0" borderId="41" applyAlignment="1" applyProtection="1" pivotButton="0" quotePrefix="0" xfId="0">
      <alignment horizontal="center" vertical="center"/>
      <protection locked="0" hidden="0"/>
    </xf>
    <xf numFmtId="0" fontId="5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center" wrapText="1"/>
    </xf>
    <xf numFmtId="0" fontId="7" fillId="0" borderId="0" applyAlignment="1" pivotButton="0" quotePrefix="0" xfId="0">
      <alignment vertical="center"/>
    </xf>
    <xf numFmtId="0" fontId="6" fillId="0" borderId="0" applyAlignment="1" pivotButton="0" quotePrefix="0" xfId="0">
      <alignment horizontal="center" vertical="center"/>
    </xf>
    <xf numFmtId="0" fontId="6" fillId="7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0" fontId="5" fillId="0" borderId="0" applyAlignment="1" pivotButton="0" quotePrefix="0" xfId="0">
      <alignment vertical="center" wrapText="1"/>
    </xf>
    <xf numFmtId="0" fontId="6" fillId="2" borderId="0" applyAlignment="1" pivotButton="0" quotePrefix="0" xfId="0">
      <alignment vertical="center"/>
    </xf>
    <xf numFmtId="0" fontId="6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9" fontId="5" fillId="0" borderId="0" applyAlignment="1" pivotButton="0" quotePrefix="0" xfId="2">
      <alignment horizontal="center" vertical="center"/>
    </xf>
    <xf numFmtId="0" fontId="5" fillId="0" borderId="0" applyAlignment="1" pivotButton="0" quotePrefix="0" xfId="0">
      <alignment horizontal="center"/>
    </xf>
    <xf numFmtId="9" fontId="5" fillId="0" borderId="0" pivotButton="0" quotePrefix="0" xfId="0"/>
    <xf numFmtId="164" fontId="5" fillId="0" borderId="0" pivotButton="0" quotePrefix="0" xfId="0"/>
    <xf numFmtId="0" fontId="16" fillId="13" borderId="33" pivotButton="0" quotePrefix="0" xfId="0"/>
    <xf numFmtId="0" fontId="16" fillId="13" borderId="34" pivotButton="0" quotePrefix="0" xfId="0"/>
    <xf numFmtId="0" fontId="16" fillId="13" borderId="31" pivotButton="0" quotePrefix="0" xfId="0"/>
    <xf numFmtId="9" fontId="8" fillId="14" borderId="13" applyAlignment="1" pivotButton="0" quotePrefix="0" xfId="2">
      <alignment horizontal="center" vertical="center" wrapText="1"/>
    </xf>
    <xf numFmtId="0" fontId="16" fillId="8" borderId="44" pivotButton="0" quotePrefix="0" xfId="0"/>
    <xf numFmtId="9" fontId="8" fillId="15" borderId="13" applyAlignment="1" pivotButton="0" quotePrefix="0" xfId="2">
      <alignment horizontal="center" vertical="center" wrapText="1"/>
    </xf>
    <xf numFmtId="0" fontId="8" fillId="8" borderId="45" pivotButton="0" quotePrefix="0" xfId="0"/>
    <xf numFmtId="0" fontId="8" fillId="8" borderId="44" pivotButton="0" quotePrefix="0" xfId="0"/>
    <xf numFmtId="9" fontId="8" fillId="12" borderId="13" applyAlignment="1" pivotButton="0" quotePrefix="0" xfId="2">
      <alignment horizontal="center" vertical="center" wrapText="1"/>
    </xf>
    <xf numFmtId="0" fontId="8" fillId="13" borderId="44" pivotButton="0" quotePrefix="0" xfId="0"/>
    <xf numFmtId="9" fontId="9" fillId="23" borderId="13" applyAlignment="1" pivotButton="0" quotePrefix="0" xfId="2">
      <alignment horizontal="center" wrapText="1"/>
    </xf>
    <xf numFmtId="165" fontId="5" fillId="16" borderId="7" pivotButton="0" quotePrefix="0" xfId="0"/>
    <xf numFmtId="9" fontId="11" fillId="13" borderId="13" applyAlignment="1" pivotButton="0" quotePrefix="0" xfId="2">
      <alignment horizontal="center" vertical="center" wrapText="1"/>
    </xf>
    <xf numFmtId="9" fontId="12" fillId="9" borderId="13" applyAlignment="1" pivotButton="0" quotePrefix="0" xfId="2">
      <alignment horizontal="center" vertical="center" wrapText="1"/>
    </xf>
    <xf numFmtId="9" fontId="10" fillId="8" borderId="13" applyAlignment="1" pivotButton="0" quotePrefix="0" xfId="2">
      <alignment horizontal="center" vertical="center" wrapText="1"/>
    </xf>
    <xf numFmtId="9" fontId="11" fillId="13" borderId="46" applyAlignment="1" pivotButton="0" quotePrefix="0" xfId="2">
      <alignment horizontal="center" vertical="center" wrapText="1"/>
    </xf>
    <xf numFmtId="9" fontId="12" fillId="9" borderId="8" applyAlignment="1" pivotButton="0" quotePrefix="0" xfId="2">
      <alignment horizontal="center" vertical="center" wrapText="1"/>
    </xf>
    <xf numFmtId="0" fontId="8" fillId="11" borderId="31" applyAlignment="1" pivotButton="0" quotePrefix="0" xfId="0">
      <alignment horizontal="center" vertical="center" textRotation="90"/>
    </xf>
    <xf numFmtId="0" fontId="8" fillId="11" borderId="13" applyAlignment="1" pivotButton="0" quotePrefix="0" xfId="0">
      <alignment horizontal="center" vertical="center" textRotation="90"/>
    </xf>
    <xf numFmtId="0" fontId="9" fillId="11" borderId="9" applyAlignment="1" pivotButton="0" quotePrefix="0" xfId="0">
      <alignment horizontal="center" vertical="center" wrapText="1"/>
    </xf>
    <xf numFmtId="0" fontId="9" fillId="11" borderId="13" applyAlignment="1" pivotButton="0" quotePrefix="0" xfId="0">
      <alignment horizontal="center" vertical="center" wrapText="1"/>
    </xf>
    <xf numFmtId="9" fontId="8" fillId="13" borderId="13" applyAlignment="1" pivotButton="0" quotePrefix="0" xfId="2">
      <alignment horizontal="center" vertical="center" wrapText="1"/>
    </xf>
    <xf numFmtId="0" fontId="8" fillId="9" borderId="13" applyAlignment="1" pivotButton="0" quotePrefix="0" xfId="0">
      <alignment horizontal="center" vertical="center" wrapText="1"/>
    </xf>
    <xf numFmtId="0" fontId="8" fillId="11" borderId="47" applyAlignment="1" pivotButton="0" quotePrefix="0" xfId="0">
      <alignment horizontal="center" vertical="center" textRotation="90"/>
    </xf>
    <xf numFmtId="9" fontId="8" fillId="8" borderId="13" applyAlignment="1" pivotButton="0" quotePrefix="0" xfId="2">
      <alignment horizontal="center" vertical="center" wrapText="1"/>
    </xf>
    <xf numFmtId="0" fontId="9" fillId="11" borderId="47" applyAlignment="1" pivotButton="0" quotePrefix="0" xfId="0">
      <alignment horizontal="center" vertical="center" wrapText="1"/>
    </xf>
    <xf numFmtId="0" fontId="8" fillId="23" borderId="13" applyAlignment="1" pivotButton="0" quotePrefix="0" xfId="0">
      <alignment horizontal="center" vertical="center" wrapText="1"/>
    </xf>
    <xf numFmtId="0" fontId="6" fillId="17" borderId="13" applyAlignment="1" pivotButton="0" quotePrefix="0" xfId="0">
      <alignment horizontal="center" vertical="center" wrapText="1"/>
    </xf>
    <xf numFmtId="0" fontId="5" fillId="0" borderId="1" pivotButton="0" quotePrefix="0" xfId="0"/>
    <xf numFmtId="0" fontId="5" fillId="0" borderId="14" applyAlignment="1" pivotButton="0" quotePrefix="0" xfId="0">
      <alignment horizontal="center" vertical="center"/>
    </xf>
    <xf numFmtId="0" fontId="5" fillId="21" borderId="18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0" fontId="15" fillId="0" borderId="1" applyAlignment="1" pivotButton="0" quotePrefix="0" xfId="3">
      <alignment horizontal="left" vertical="center" wrapText="1"/>
    </xf>
    <xf numFmtId="0" fontId="17" fillId="21" borderId="1" applyAlignment="1" pivotButton="0" quotePrefix="0" xfId="0">
      <alignment horizontal="center" vertical="center" wrapText="1"/>
    </xf>
    <xf numFmtId="1" fontId="5" fillId="0" borderId="32" applyAlignment="1" pivotButton="0" quotePrefix="0" xfId="0">
      <alignment horizontal="center" vertical="center"/>
    </xf>
    <xf numFmtId="1" fontId="5" fillId="0" borderId="19" applyAlignment="1" pivotButton="0" quotePrefix="0" xfId="0">
      <alignment horizontal="center" vertical="center"/>
    </xf>
    <xf numFmtId="9" fontId="6" fillId="3" borderId="19" applyAlignment="1" pivotButton="0" quotePrefix="0" xfId="2">
      <alignment horizontal="center" vertical="center" wrapText="1"/>
    </xf>
    <xf numFmtId="0" fontId="5" fillId="0" borderId="19" applyAlignment="1" pivotButton="0" quotePrefix="0" xfId="0">
      <alignment horizontal="center" vertical="center"/>
    </xf>
    <xf numFmtId="9" fontId="5" fillId="18" borderId="19" applyAlignment="1" pivotButton="0" quotePrefix="0" xfId="2">
      <alignment horizontal="center" vertical="center" wrapText="1"/>
    </xf>
    <xf numFmtId="9" fontId="5" fillId="18" borderId="4" applyAlignment="1" pivotButton="0" quotePrefix="0" xfId="2">
      <alignment horizontal="center" vertical="center" wrapText="1"/>
    </xf>
    <xf numFmtId="9" fontId="5" fillId="19" borderId="6" applyAlignment="1" pivotButton="0" quotePrefix="0" xfId="2">
      <alignment horizontal="center" vertical="center" wrapText="1"/>
    </xf>
    <xf numFmtId="0" fontId="5" fillId="0" borderId="4" applyAlignment="1" pivotButton="0" quotePrefix="0" xfId="0">
      <alignment horizontal="center" vertical="center"/>
    </xf>
    <xf numFmtId="0" fontId="5" fillId="0" borderId="6" applyAlignment="1" pivotButton="0" quotePrefix="0" xfId="0">
      <alignment horizontal="center" vertical="center"/>
    </xf>
    <xf numFmtId="9" fontId="6" fillId="3" borderId="6" applyAlignment="1" pivotButton="0" quotePrefix="0" xfId="2">
      <alignment horizontal="center" vertical="center" wrapText="1"/>
    </xf>
    <xf numFmtId="9" fontId="5" fillId="18" borderId="6" applyAlignment="1" pivotButton="0" quotePrefix="0" xfId="2">
      <alignment horizontal="center" vertical="center" wrapText="1"/>
    </xf>
    <xf numFmtId="9" fontId="5" fillId="18" borderId="13" applyAlignment="1" pivotButton="0" quotePrefix="0" xfId="2">
      <alignment horizontal="center" vertical="center" wrapText="1"/>
    </xf>
    <xf numFmtId="9" fontId="5" fillId="19" borderId="13" applyAlignment="1" pivotButton="0" quotePrefix="0" xfId="2">
      <alignment horizontal="center" vertical="center" wrapText="1"/>
    </xf>
    <xf numFmtId="9" fontId="5" fillId="4" borderId="7" applyAlignment="1" pivotButton="0" quotePrefix="0" xfId="2">
      <alignment horizontal="center" vertical="center" wrapText="1"/>
    </xf>
    <xf numFmtId="166" fontId="5" fillId="0" borderId="10" pivotButton="0" quotePrefix="0" xfId="1"/>
    <xf numFmtId="0" fontId="5" fillId="0" borderId="2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center" vertical="center" wrapText="1"/>
    </xf>
    <xf numFmtId="1" fontId="5" fillId="0" borderId="5" applyAlignment="1" pivotButton="0" quotePrefix="0" xfId="0">
      <alignment horizontal="center" vertical="center"/>
    </xf>
    <xf numFmtId="1" fontId="5" fillId="0" borderId="1" applyAlignment="1" pivotButton="0" quotePrefix="0" xfId="0">
      <alignment horizontal="center" vertical="center"/>
    </xf>
    <xf numFmtId="9" fontId="6" fillId="3" borderId="1" applyAlignment="1" pivotButton="0" quotePrefix="0" xfId="2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9" fontId="5" fillId="18" borderId="1" applyAlignment="1" pivotButton="0" quotePrefix="0" xfId="2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42" applyAlignment="1" pivotButton="0" quotePrefix="0" xfId="0">
      <alignment horizontal="center" vertical="center"/>
    </xf>
    <xf numFmtId="0" fontId="5" fillId="0" borderId="41" applyAlignment="1" pivotButton="0" quotePrefix="0" xfId="0">
      <alignment horizontal="center" vertical="center"/>
    </xf>
    <xf numFmtId="9" fontId="6" fillId="3" borderId="41" applyAlignment="1" pivotButton="0" quotePrefix="0" xfId="2">
      <alignment horizontal="center" vertical="center" wrapText="1"/>
    </xf>
    <xf numFmtId="9" fontId="5" fillId="18" borderId="41" applyAlignment="1" pivotButton="0" quotePrefix="0" xfId="2">
      <alignment horizontal="center" vertical="center" wrapText="1"/>
    </xf>
    <xf numFmtId="166" fontId="5" fillId="0" borderId="12" pivotButton="0" quotePrefix="0" xfId="1"/>
    <xf numFmtId="0" fontId="5" fillId="15" borderId="3" applyAlignment="1" pivotButton="0" quotePrefix="0" xfId="0">
      <alignment horizontal="center" vertical="center"/>
    </xf>
    <xf numFmtId="0" fontId="8" fillId="11" borderId="38" applyAlignment="1" pivotButton="0" quotePrefix="0" xfId="0">
      <alignment vertical="center" wrapText="1"/>
    </xf>
    <xf numFmtId="0" fontId="8" fillId="11" borderId="39" applyAlignment="1" pivotButton="0" quotePrefix="0" xfId="0">
      <alignment vertical="center" wrapText="1"/>
    </xf>
    <xf numFmtId="0" fontId="8" fillId="11" borderId="34" applyAlignment="1" pivotButton="0" quotePrefix="0" xfId="0">
      <alignment vertical="center" wrapText="1"/>
    </xf>
    <xf numFmtId="0" fontId="8" fillId="11" borderId="30" applyAlignment="1" pivotButton="0" quotePrefix="0" xfId="0">
      <alignment vertical="center" wrapText="1"/>
    </xf>
    <xf numFmtId="0" fontId="8" fillId="11" borderId="43" applyAlignment="1" pivotButton="0" quotePrefix="0" xfId="0">
      <alignment vertical="center" wrapText="1"/>
    </xf>
    <xf numFmtId="9" fontId="9" fillId="11" borderId="40" applyAlignment="1" pivotButton="0" quotePrefix="0" xfId="2">
      <alignment horizontal="center" vertical="center" wrapText="1"/>
    </xf>
    <xf numFmtId="0" fontId="8" fillId="11" borderId="26" applyAlignment="1" pivotButton="0" quotePrefix="0" xfId="0">
      <alignment vertical="center" wrapText="1"/>
    </xf>
    <xf numFmtId="9" fontId="9" fillId="11" borderId="4" applyAlignment="1" pivotButton="0" quotePrefix="0" xfId="2">
      <alignment horizontal="center" vertical="center" wrapText="1"/>
    </xf>
    <xf numFmtId="9" fontId="9" fillId="11" borderId="6" applyAlignment="1" pivotButton="0" quotePrefix="0" xfId="2">
      <alignment horizontal="center" vertical="center" wrapText="1"/>
    </xf>
    <xf numFmtId="0" fontId="8" fillId="11" borderId="2" applyAlignment="1" pivotButton="0" quotePrefix="0" xfId="0">
      <alignment horizontal="center" vertical="center" wrapText="1"/>
    </xf>
    <xf numFmtId="9" fontId="9" fillId="11" borderId="13" applyAlignment="1" pivotButton="0" quotePrefix="0" xfId="2">
      <alignment horizontal="center" vertical="center" wrapText="1"/>
    </xf>
    <xf numFmtId="0" fontId="8" fillId="11" borderId="5" applyAlignment="1" pivotButton="0" quotePrefix="0" xfId="0">
      <alignment vertical="center" wrapText="1"/>
    </xf>
    <xf numFmtId="0" fontId="5" fillId="0" borderId="14" applyAlignment="1" pivotButton="0" quotePrefix="0" xfId="0">
      <alignment horizontal="center" vertical="center" wrapText="1"/>
    </xf>
    <xf numFmtId="0" fontId="5" fillId="0" borderId="18" applyAlignment="1" pivotButton="0" quotePrefix="0" xfId="0">
      <alignment horizontal="center" vertical="center" wrapText="1"/>
    </xf>
    <xf numFmtId="0" fontId="5" fillId="0" borderId="19" applyAlignment="1" pivotButton="0" quotePrefix="0" xfId="0">
      <alignment horizontal="center" vertical="center" wrapText="1"/>
    </xf>
    <xf numFmtId="0" fontId="5" fillId="22" borderId="19" applyAlignment="1" pivotButton="0" quotePrefix="0" xfId="0">
      <alignment horizontal="center" vertical="center"/>
    </xf>
    <xf numFmtId="9" fontId="5" fillId="6" borderId="19" applyAlignment="1" pivotButton="0" quotePrefix="0" xfId="2">
      <alignment horizontal="center" vertical="center"/>
    </xf>
    <xf numFmtId="9" fontId="5" fillId="20" borderId="19" applyAlignment="1" pivotButton="0" quotePrefix="0" xfId="2">
      <alignment horizontal="center" vertical="center" wrapText="1"/>
    </xf>
    <xf numFmtId="9" fontId="5" fillId="20" borderId="4" applyAlignment="1" pivotButton="0" quotePrefix="0" xfId="2">
      <alignment horizontal="center" vertical="center" wrapText="1"/>
    </xf>
    <xf numFmtId="0" fontId="5" fillId="22" borderId="1" applyAlignment="1" pivotButton="0" quotePrefix="0" xfId="0">
      <alignment horizontal="center" vertical="center"/>
    </xf>
    <xf numFmtId="9" fontId="5" fillId="6" borderId="6" applyAlignment="1" pivotButton="0" quotePrefix="0" xfId="2">
      <alignment horizontal="center" vertical="center"/>
    </xf>
    <xf numFmtId="9" fontId="5" fillId="20" borderId="6" applyAlignment="1" pivotButton="0" quotePrefix="0" xfId="2">
      <alignment horizontal="center" vertical="center" wrapText="1"/>
    </xf>
    <xf numFmtId="9" fontId="5" fillId="4" borderId="6" applyAlignment="1" pivotButton="0" quotePrefix="0" xfId="2">
      <alignment horizontal="center" vertical="center" wrapText="1"/>
    </xf>
    <xf numFmtId="167" fontId="5" fillId="0" borderId="12" pivotButton="0" quotePrefix="0" xfId="1"/>
    <xf numFmtId="9" fontId="5" fillId="6" borderId="1" applyAlignment="1" pivotButton="0" quotePrefix="0" xfId="2">
      <alignment horizontal="center" vertical="center"/>
    </xf>
    <xf numFmtId="9" fontId="5" fillId="20" borderId="1" applyAlignment="1" pivotButton="0" quotePrefix="0" xfId="2">
      <alignment horizontal="center" vertical="center" wrapText="1"/>
    </xf>
    <xf numFmtId="0" fontId="5" fillId="0" borderId="23" applyAlignment="1" pivotButton="0" quotePrefix="0" xfId="0">
      <alignment horizontal="center" vertical="center" wrapText="1"/>
    </xf>
    <xf numFmtId="0" fontId="5" fillId="0" borderId="24" applyAlignment="1" pivotButton="0" quotePrefix="0" xfId="0">
      <alignment horizontal="center" vertical="center" wrapText="1"/>
    </xf>
    <xf numFmtId="0" fontId="5" fillId="0" borderId="24" applyAlignment="1" pivotButton="0" quotePrefix="0" xfId="0">
      <alignment horizontal="center" vertical="center"/>
    </xf>
    <xf numFmtId="0" fontId="5" fillId="22" borderId="24" applyAlignment="1" pivotButton="0" quotePrefix="0" xfId="0">
      <alignment horizontal="center" vertical="center"/>
    </xf>
    <xf numFmtId="9" fontId="5" fillId="6" borderId="24" applyAlignment="1" pivotButton="0" quotePrefix="0" xfId="2">
      <alignment horizontal="center" vertical="center"/>
    </xf>
    <xf numFmtId="9" fontId="5" fillId="20" borderId="24" applyAlignment="1" pivotButton="0" quotePrefix="0" xfId="2">
      <alignment horizontal="center" vertical="center" wrapText="1"/>
    </xf>
    <xf numFmtId="0" fontId="6" fillId="0" borderId="0" applyAlignment="1" pivotButton="0" quotePrefix="0" xfId="0">
      <alignment vertical="top" wrapText="1"/>
    </xf>
    <xf numFmtId="9" fontId="5" fillId="0" borderId="19" applyAlignment="1" applyProtection="1" pivotButton="0" quotePrefix="0" xfId="2">
      <alignment horizontal="center" vertical="center" wrapText="1"/>
      <protection locked="0" hidden="0"/>
    </xf>
    <xf numFmtId="9" fontId="5" fillId="0" borderId="1" applyAlignment="1" applyProtection="1" pivotButton="0" quotePrefix="0" xfId="2">
      <alignment horizontal="center" vertical="center" wrapText="1"/>
      <protection locked="0" hidden="0"/>
    </xf>
    <xf numFmtId="0" fontId="5" fillId="0" borderId="41" applyAlignment="1" applyProtection="1" pivotButton="0" quotePrefix="0" xfId="0">
      <alignment horizontal="center" vertical="center" wrapText="1"/>
      <protection locked="0" hidden="0"/>
    </xf>
    <xf numFmtId="9" fontId="5" fillId="0" borderId="19" applyAlignment="1" applyProtection="1" pivotButton="0" quotePrefix="0" xfId="2">
      <alignment horizontal="center" vertical="center" wrapText="1"/>
      <protection locked="0" hidden="0"/>
    </xf>
    <xf numFmtId="9" fontId="5" fillId="0" borderId="1" applyAlignment="1" applyProtection="1" pivotButton="0" quotePrefix="0" xfId="2">
      <alignment horizontal="center" vertical="center" wrapText="1"/>
      <protection locked="0" hidden="0"/>
    </xf>
    <xf numFmtId="9" fontId="5" fillId="0" borderId="6" applyAlignment="1" applyProtection="1" pivotButton="0" quotePrefix="0" xfId="2">
      <alignment horizontal="center" vertical="center" wrapText="1"/>
      <protection locked="0" hidden="0"/>
    </xf>
    <xf numFmtId="0" fontId="5" fillId="0" borderId="6" applyAlignment="1" applyProtection="1" pivotButton="0" quotePrefix="0" xfId="0">
      <alignment horizontal="center" vertical="center" wrapText="1"/>
      <protection locked="0" hidden="0"/>
    </xf>
    <xf numFmtId="9" fontId="5" fillId="0" borderId="3" applyAlignment="1" applyProtection="1" pivotButton="0" quotePrefix="0" xfId="2">
      <alignment horizontal="center" vertical="center" wrapText="1"/>
      <protection locked="0" hidden="0"/>
    </xf>
    <xf numFmtId="0" fontId="5" fillId="0" borderId="14" applyAlignment="1" applyProtection="1" pivotButton="0" quotePrefix="0" xfId="0">
      <alignment horizontal="center" vertical="center" wrapText="1"/>
      <protection locked="0" hidden="0"/>
    </xf>
    <xf numFmtId="0" fontId="8" fillId="10" borderId="15" applyAlignment="1" pivotButton="0" quotePrefix="0" xfId="0">
      <alignment horizontal="center" vertical="center"/>
    </xf>
    <xf numFmtId="0" fontId="8" fillId="10" borderId="16" applyAlignment="1" pivotButton="0" quotePrefix="0" xfId="0">
      <alignment horizontal="center" vertical="center"/>
    </xf>
    <xf numFmtId="0" fontId="8" fillId="10" borderId="17" applyAlignment="1" pivotButton="0" quotePrefix="0" xfId="0">
      <alignment horizontal="center" vertical="center"/>
    </xf>
    <xf numFmtId="0" fontId="13" fillId="11" borderId="27" applyAlignment="1" pivotButton="0" quotePrefix="0" xfId="0">
      <alignment horizontal="center" vertical="center" wrapText="1"/>
    </xf>
    <xf numFmtId="0" fontId="13" fillId="11" borderId="28" applyAlignment="1" pivotButton="0" quotePrefix="0" xfId="0">
      <alignment horizontal="center" vertical="center" wrapText="1"/>
    </xf>
    <xf numFmtId="0" fontId="13" fillId="11" borderId="29" applyAlignment="1" pivotButton="0" quotePrefix="0" xfId="0">
      <alignment horizontal="center" vertical="center" wrapText="1"/>
    </xf>
    <xf numFmtId="0" fontId="13" fillId="11" borderId="7" applyAlignment="1" pivotButton="0" quotePrefix="0" xfId="0">
      <alignment horizontal="center" vertical="center" wrapText="1"/>
    </xf>
    <xf numFmtId="0" fontId="13" fillId="11" borderId="11" applyAlignment="1" pivotButton="0" quotePrefix="0" xfId="0">
      <alignment horizontal="center" vertical="center" wrapText="1"/>
    </xf>
    <xf numFmtId="0" fontId="13" fillId="11" borderId="8" applyAlignment="1" pivotButton="0" quotePrefix="0" xfId="0">
      <alignment horizontal="center" vertical="center" wrapText="1"/>
    </xf>
    <xf numFmtId="0" fontId="8" fillId="11" borderId="35" applyAlignment="1" pivotButton="0" quotePrefix="0" xfId="0">
      <alignment horizontal="center" vertical="center" wrapText="1"/>
    </xf>
    <xf numFmtId="0" fontId="8" fillId="11" borderId="36" applyAlignment="1" pivotButton="0" quotePrefix="0" xfId="0">
      <alignment horizontal="center" vertical="center" wrapText="1"/>
    </xf>
    <xf numFmtId="0" fontId="8" fillId="11" borderId="37" applyAlignment="1" pivotButton="0" quotePrefix="0" xfId="0">
      <alignment horizontal="center" vertical="center" wrapText="1"/>
    </xf>
    <xf numFmtId="0" fontId="8" fillId="11" borderId="33" applyAlignment="1" pivotButton="0" quotePrefix="0" xfId="0">
      <alignment horizontal="center"/>
    </xf>
    <xf numFmtId="0" fontId="8" fillId="11" borderId="34" applyAlignment="1" pivotButton="0" quotePrefix="0" xfId="0">
      <alignment horizontal="center"/>
    </xf>
    <xf numFmtId="0" fontId="8" fillId="11" borderId="31" applyAlignment="1" pivotButton="0" quotePrefix="0" xfId="0">
      <alignment horizontal="center"/>
    </xf>
    <xf numFmtId="0" fontId="8" fillId="10" borderId="30" applyAlignment="1" pivotButton="0" quotePrefix="0" xfId="0">
      <alignment horizontal="center" vertical="center"/>
    </xf>
    <xf numFmtId="164" fontId="5" fillId="0" borderId="0" pivotButton="0" quotePrefix="0" xfId="0"/>
    <xf numFmtId="0" fontId="8" fillId="11" borderId="22" applyAlignment="1" pivotButton="0" quotePrefix="0" xfId="0">
      <alignment horizontal="center" vertical="center" wrapText="1"/>
    </xf>
    <xf numFmtId="0" fontId="13" fillId="11" borderId="13" applyAlignment="1" pivotButton="0" quotePrefix="0" xfId="0">
      <alignment horizontal="center" vertical="center" wrapText="1"/>
    </xf>
    <xf numFmtId="0" fontId="8" fillId="11" borderId="13" applyAlignment="1" pivotButton="0" quotePrefix="0" xfId="0">
      <alignment horizontal="center"/>
    </xf>
    <xf numFmtId="0" fontId="0" fillId="0" borderId="34" pivotButton="0" quotePrefix="0" xfId="0"/>
    <xf numFmtId="0" fontId="0" fillId="0" borderId="31" pivotButton="0" quotePrefix="0" xfId="0"/>
    <xf numFmtId="0" fontId="0" fillId="0" borderId="36" pivotButton="0" quotePrefix="0" xfId="0"/>
    <xf numFmtId="0" fontId="0" fillId="0" borderId="11" pivotButton="0" quotePrefix="0" xfId="0"/>
    <xf numFmtId="165" fontId="5" fillId="16" borderId="7" pivotButton="0" quotePrefix="0" xfId="0"/>
    <xf numFmtId="0" fontId="0" fillId="0" borderId="30" pivotButton="0" quotePrefix="0" xfId="0"/>
    <xf numFmtId="0" fontId="0" fillId="0" borderId="37" pivotButton="0" quotePrefix="0" xfId="0"/>
    <xf numFmtId="0" fontId="0" fillId="0" borderId="8" pivotButton="0" quotePrefix="0" xfId="0"/>
    <xf numFmtId="0" fontId="0" fillId="0" borderId="51" pivotButton="0" quotePrefix="0" xfId="0"/>
    <xf numFmtId="166" fontId="5" fillId="0" borderId="10" pivotButton="0" quotePrefix="0" xfId="1"/>
    <xf numFmtId="166" fontId="5" fillId="0" borderId="12" pivotButton="0" quotePrefix="0" xfId="1"/>
    <xf numFmtId="167" fontId="5" fillId="0" borderId="12" pivotButton="0" quotePrefix="0" xfId="1"/>
  </cellXfs>
  <cellStyles count="4">
    <cellStyle name="Normal" xfId="0" builtinId="0"/>
    <cellStyle name="Moneda" xfId="1" builtinId="4"/>
    <cellStyle name="Porcentaje" xfId="2" builtinId="5"/>
    <cellStyle name="Normal 2" xf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GPLANIFICACION</author>
  </authors>
  <commentList>
    <comment ref="S11" authorId="0" shapeId="0">
      <text>
        <t>GPLANIFICACION:
Nota ponderada
las actividades Planificadas tienen un 80% de ponderación y las no porgramadas un 20%.
De no existir actividades no programadas el 100% de ponderación es para las actividades programadas</t>
      </text>
    </comment>
    <comment ref="AF11" authorId="0" shapeId="0">
      <text>
        <t>GPLANIFICACION:
Nota ponderada
las actividades Planificadas tienen un 80% de ponderación y las no porgramadas un 20%.
De no existir actividades no programadas el 100% de ponderación es para las actividades programadas</t>
      </text>
    </comment>
    <comment ref="AG11" authorId="0" shapeId="0">
      <text>
        <t>GPLANIFICACION:
Nota ponderada
las actividades Planificadas tienen un 80% de ponderación y las no porgramadas un 20%.
De no existir actividades no programadas el 100% de ponderación es para las actividades programadas</t>
      </text>
    </comment>
    <comment ref="AT11" authorId="0" shapeId="0">
      <text>
        <t>GPLANIFICACION:
Nota ponderada
las actividades Planificadas tienen un 80% de ponderación y las no porgramadas un 20%.
De no existir actividades no programadas el 100% de ponderación es para las actividades programadas</t>
      </text>
    </comment>
    <comment ref="BG11" authorId="0" shapeId="0">
      <text>
        <t>GPLANIFICACION:
Nota ponderada
las actividades Planificadas tienen un 80% de ponderación y las no porgramadas un 20%.
De no existir actividades no programadas el 100% de ponderación es para las actividades programadas</t>
      </text>
    </comment>
    <comment ref="BH11" authorId="0" shapeId="0">
      <text>
        <t>GPLANIFICACION:
Nota ponderada
las actividades Planificadas tienen un 80% de ponderación y las no porgramadas un 20%.
De no existir actividades no programadas el 100% de ponderación es para las actividades programadas</t>
      </text>
    </comment>
    <comment ref="BI11" authorId="0" shapeId="0">
      <text>
        <t>GPLANIFICACION:
Nota ponderada
las actividades Planificadas tienen un 80% de ponderación y las no porgramadas un 20%.
De no existir actividades no programadas el 100% de ponderación es para las actividades programadas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17</col>
      <colOff>523875</colOff>
      <row>1</row>
      <rowOff>211565</rowOff>
    </from>
    <to>
      <col>18</col>
      <colOff>762000</colOff>
      <row>7</row>
      <rowOff>69273</rowOff>
    </to>
    <pic>
      <nvPicPr>
        <cNvPr id="3" name="Imagen 2"/>
        <cNvPicPr>
          <a:picLocks noChangeAspect="1"/>
        </cNvPicPr>
      </nvPicPr>
      <blipFill rotWithShape="1">
        <a:blip r:embed="rId1"/>
        <a:srcRect l="9645" t="16455" r="6773" b="16076"/>
        <a:stretch>
          <a:fillRect/>
        </a:stretch>
      </blipFill>
      <spPr>
        <a:xfrm>
          <a:off x="20419219" y="402065"/>
          <a:ext cx="1619250" cy="1276717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codeName="Hoja1">
    <tabColor rgb="FF00B050"/>
    <outlinePr summaryBelow="1" summaryRight="1"/>
    <pageSetUpPr fitToPage="1"/>
  </sheetPr>
  <dimension ref="A2:BJ35"/>
  <sheetViews>
    <sheetView showGridLines="0" tabSelected="1" zoomScaleNormal="100" workbookViewId="0">
      <selection activeCell="AP19" sqref="AP19"/>
    </sheetView>
  </sheetViews>
  <sheetFormatPr baseColWidth="10" defaultColWidth="11.42578125" defaultRowHeight="15"/>
  <cols>
    <col width="0.7109375" customWidth="1" style="15" min="1" max="1"/>
    <col width="4.28515625" customWidth="1" style="15" min="2" max="2"/>
    <col width="44.7109375" customWidth="1" style="15" min="3" max="5"/>
    <col width="25.42578125" customWidth="1" style="15" min="6" max="6"/>
    <col width="5.5703125" customWidth="1" style="15" min="7" max="8"/>
    <col width="19.7109375" customWidth="1" style="15" min="9" max="9"/>
    <col width="20.7109375" customWidth="1" style="15" min="10" max="10"/>
    <col width="5.140625" customWidth="1" style="15" min="11" max="11"/>
    <col width="5.5703125" customWidth="1" style="15" min="12" max="12"/>
    <col width="19.140625" customWidth="1" style="15" min="13" max="13"/>
    <col width="20.7109375" customWidth="1" style="15" min="14" max="14"/>
    <col width="4.85546875" customWidth="1" style="15" min="15" max="15"/>
    <col width="5.5703125" customWidth="1" style="15" min="16" max="16"/>
    <col width="21.85546875" customWidth="1" style="15" min="17" max="17"/>
    <col width="20.7109375" customWidth="1" style="15" min="18" max="18"/>
    <col width="16.42578125" customWidth="1" style="15" min="19" max="19"/>
    <col width="5" customWidth="1" style="15" min="20" max="20"/>
    <col width="5.5703125" customWidth="1" style="15" min="21" max="21"/>
    <col width="19.5703125" customWidth="1" style="15" min="22" max="22"/>
    <col width="20.7109375" customWidth="1" style="15" min="23" max="23"/>
    <col width="5.140625" customWidth="1" style="15" min="24" max="24"/>
    <col width="5.5703125" customWidth="1" style="15" min="25" max="25"/>
    <col width="19" customWidth="1" style="15" min="26" max="26"/>
    <col width="20.7109375" customWidth="1" style="15" min="27" max="27"/>
    <col width="4.7109375" customWidth="1" style="15" min="28" max="28"/>
    <col width="5.5703125" customWidth="1" style="15" min="29" max="29"/>
    <col width="18.85546875" customWidth="1" style="15" min="30" max="30"/>
    <col width="20.7109375" customWidth="1" style="15" min="31" max="31"/>
    <col width="16.140625" customWidth="1" style="15" min="32" max="32"/>
    <col width="15.140625" customWidth="1" style="15" min="33" max="33"/>
    <col width="5" customWidth="1" style="15" min="34" max="34"/>
    <col width="5.7109375" customWidth="1" style="15" min="35" max="35"/>
    <col width="18.28515625" customWidth="1" style="15" min="36" max="36"/>
    <col width="20.85546875" customWidth="1" style="15" min="37" max="37"/>
    <col width="4.85546875" customWidth="1" style="15" min="38" max="38"/>
    <col width="5.7109375" customWidth="1" style="15" min="39" max="39"/>
    <col width="15.42578125" customWidth="1" style="15" min="40" max="40"/>
    <col width="20.85546875" customWidth="1" style="15" min="41" max="41"/>
    <col width="5" customWidth="1" style="15" min="42" max="42"/>
    <col width="5.7109375" customWidth="1" style="15" min="43" max="43"/>
    <col width="15.42578125" customWidth="1" style="15" min="44" max="44"/>
    <col width="20.85546875" customWidth="1" style="15" min="45" max="45"/>
    <col width="16" customWidth="1" style="15" min="46" max="46"/>
    <col width="5" customWidth="1" style="15" min="47" max="47"/>
    <col width="5.7109375" customWidth="1" style="15" min="48" max="48"/>
    <col width="17.28515625" customWidth="1" style="15" min="49" max="49"/>
    <col width="20.85546875" customWidth="1" style="15" min="50" max="50"/>
    <col width="5" customWidth="1" style="15" min="51" max="51"/>
    <col width="5.42578125" customWidth="1" style="15" min="52" max="52"/>
    <col width="15.7109375" customWidth="1" style="15" min="53" max="53"/>
    <col width="20.85546875" customWidth="1" style="15" min="54" max="54"/>
    <col width="5.7109375" customWidth="1" style="15" min="55" max="56"/>
    <col width="17.140625" customWidth="1" style="15" min="57" max="57"/>
    <col width="20.85546875" customWidth="1" style="15" min="58" max="58"/>
    <col width="20.7109375" customWidth="1" style="15" min="59" max="61"/>
    <col width="23" customWidth="1" style="15" min="62" max="62"/>
    <col width="3.28515625" customWidth="1" style="15" min="63" max="63"/>
    <col width="11.42578125" customWidth="1" style="15" min="64" max="66"/>
    <col width="11.42578125" customWidth="1" style="15" min="67" max="67"/>
    <col width="11.42578125" customWidth="1" style="15" min="68" max="16384"/>
  </cols>
  <sheetData>
    <row r="2" ht="21" customHeight="1">
      <c r="B2" s="16" t="n"/>
      <c r="C2" s="16" t="n"/>
      <c r="D2" s="16" t="n"/>
      <c r="E2" s="16" t="inlineStr">
        <is>
          <t>ALCALDÍA MUNICIPAL DE SANTA  ANA CENTRO</t>
        </is>
      </c>
      <c r="G2" s="16" t="n"/>
      <c r="H2" s="16" t="n"/>
      <c r="I2" s="16" t="n"/>
      <c r="J2" s="16" t="n"/>
      <c r="K2" s="16" t="n"/>
      <c r="L2" s="16" t="n"/>
      <c r="M2" s="16" t="n"/>
      <c r="N2" s="16" t="n"/>
      <c r="O2" s="16" t="n"/>
      <c r="P2" s="16" t="n"/>
      <c r="Q2" s="16" t="n"/>
      <c r="R2" s="16" t="n"/>
      <c r="S2" s="16" t="n"/>
      <c r="T2" s="17" t="n"/>
      <c r="U2" s="18" t="n"/>
      <c r="V2" s="18" t="n"/>
      <c r="W2" s="18" t="n"/>
      <c r="X2" s="18" t="n"/>
      <c r="Y2" s="18" t="n"/>
      <c r="Z2" s="18" t="n"/>
    </row>
    <row r="3">
      <c r="B3" s="16" t="inlineStr">
        <is>
          <t>FORMATO POA 2025</t>
        </is>
      </c>
      <c r="C3" s="16" t="n"/>
      <c r="D3" s="16" t="n"/>
      <c r="E3" s="16" t="inlineStr">
        <is>
          <t>PLAN OPERATIVO ANUAL 2025 (POA 2025)</t>
        </is>
      </c>
      <c r="G3" s="16" t="n"/>
      <c r="H3" s="16" t="n"/>
      <c r="I3" s="16" t="n"/>
      <c r="J3" s="16" t="n"/>
      <c r="K3" s="16" t="n"/>
      <c r="L3" s="16" t="n"/>
      <c r="M3" s="16" t="n"/>
      <c r="N3" s="16" t="n"/>
      <c r="O3" s="16" t="n"/>
      <c r="P3" s="16" t="n"/>
      <c r="Q3" s="16" t="n"/>
      <c r="R3" s="16" t="n"/>
      <c r="S3" s="16" t="n"/>
      <c r="T3" s="18" t="n"/>
      <c r="U3" s="18" t="n"/>
      <c r="V3" s="18" t="n"/>
      <c r="W3" s="18" t="n"/>
      <c r="X3" s="18" t="n"/>
      <c r="Y3" s="18" t="n"/>
      <c r="Z3" s="18" t="n"/>
    </row>
    <row r="4" ht="17.1" customHeight="1">
      <c r="T4" s="18" t="n"/>
      <c r="U4" s="18" t="n"/>
      <c r="V4" s="18" t="n"/>
      <c r="W4" s="18" t="n"/>
      <c r="X4" s="18" t="n"/>
      <c r="Y4" s="18" t="n"/>
      <c r="Z4" s="18" t="n"/>
    </row>
    <row r="5" ht="20.1" customHeight="1">
      <c r="B5" s="19" t="n">
        <v>1</v>
      </c>
      <c r="C5" s="20" t="n"/>
      <c r="D5" s="20" t="n"/>
      <c r="E5" s="20" t="n"/>
      <c r="F5" s="20" t="n"/>
      <c r="G5" s="20" t="n"/>
      <c r="H5" s="20" t="n"/>
      <c r="I5" s="20" t="n"/>
      <c r="J5" s="20" t="n"/>
      <c r="K5" s="20" t="n"/>
      <c r="L5" s="20" t="n"/>
      <c r="M5" s="20" t="n"/>
      <c r="N5" s="20" t="n"/>
      <c r="O5" s="20" t="n"/>
      <c r="P5" s="20" t="n"/>
      <c r="Q5" s="20" t="n"/>
      <c r="R5" s="21" t="n"/>
      <c r="S5" s="21" t="n"/>
    </row>
    <row r="6" ht="20.1" customHeight="1">
      <c r="B6" s="19" t="n">
        <v>2</v>
      </c>
      <c r="C6" s="22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  <c r="O6" s="22" t="n"/>
      <c r="P6" s="22" t="n"/>
      <c r="Q6" s="22" t="n"/>
      <c r="R6" s="23" t="n"/>
      <c r="S6" s="23" t="n"/>
    </row>
    <row r="7" ht="20.1" customHeight="1">
      <c r="B7" s="19" t="n">
        <v>3</v>
      </c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  <c r="Q7" s="24" t="n"/>
      <c r="R7" s="21" t="n"/>
      <c r="S7" s="21" t="n"/>
    </row>
    <row r="8" ht="15" customHeight="1">
      <c r="B8" s="19" t="n"/>
      <c r="C8" s="25" t="n"/>
      <c r="D8" s="25" t="n"/>
      <c r="E8" s="26" t="n"/>
      <c r="F8" s="26" t="n"/>
      <c r="G8" s="26" t="n"/>
      <c r="H8" s="26" t="n"/>
      <c r="I8" s="26" t="n"/>
      <c r="J8" s="26" t="n"/>
      <c r="K8" s="26" t="n"/>
      <c r="L8" s="26" t="n"/>
      <c r="M8" s="26" t="n"/>
      <c r="N8" s="26" t="n"/>
      <c r="O8" s="27" t="n"/>
      <c r="P8" s="27" t="n"/>
      <c r="Q8" s="26" t="n"/>
      <c r="R8" s="26" t="n"/>
      <c r="S8" s="28" t="n"/>
    </row>
    <row r="9" ht="15" customHeight="1" thickBot="1">
      <c r="O9" s="29" t="n"/>
      <c r="P9" s="29" t="n"/>
      <c r="S9" s="30" t="n"/>
      <c r="T9" s="153" t="n"/>
      <c r="AF9" s="30" t="n"/>
      <c r="AT9" s="30" t="n"/>
      <c r="BG9" s="30" t="n"/>
    </row>
    <row r="10" ht="15" customHeight="1" thickBot="1">
      <c r="B10" s="154" t="inlineStr">
        <is>
          <t>N°</t>
        </is>
      </c>
      <c r="C10" s="155" t="inlineStr">
        <is>
          <t xml:space="preserve">4.PROYECTOS </t>
        </is>
      </c>
      <c r="D10" s="143" t="inlineStr">
        <is>
          <t>5. METAS</t>
        </is>
      </c>
      <c r="E10" s="155" t="inlineStr">
        <is>
          <t>6.  ACTIVIDAD</t>
        </is>
      </c>
      <c r="F10" s="140" t="inlineStr">
        <is>
          <t>7. UNIDAD DE MEDIDA</t>
        </is>
      </c>
      <c r="G10" s="156" t="inlineStr">
        <is>
          <t>8. Programación</t>
        </is>
      </c>
      <c r="H10" s="157" t="n"/>
      <c r="I10" s="157" t="n"/>
      <c r="J10" s="157" t="n"/>
      <c r="K10" s="157" t="n"/>
      <c r="L10" s="157" t="n"/>
      <c r="M10" s="157" t="n"/>
      <c r="N10" s="157" t="n"/>
      <c r="O10" s="157" t="n"/>
      <c r="P10" s="157" t="n"/>
      <c r="Q10" s="157" t="n"/>
      <c r="R10" s="157" t="n"/>
      <c r="S10" s="157" t="n"/>
      <c r="T10" s="157" t="n"/>
      <c r="U10" s="157" t="n"/>
      <c r="V10" s="157" t="n"/>
      <c r="W10" s="157" t="n"/>
      <c r="X10" s="157" t="n"/>
      <c r="Y10" s="157" t="n"/>
      <c r="Z10" s="157" t="n"/>
      <c r="AA10" s="157" t="n"/>
      <c r="AB10" s="157" t="n"/>
      <c r="AC10" s="157" t="n"/>
      <c r="AD10" s="157" t="n"/>
      <c r="AE10" s="157" t="n"/>
      <c r="AF10" s="157" t="n"/>
      <c r="AG10" s="157" t="n"/>
      <c r="AH10" s="157" t="n"/>
      <c r="AI10" s="157" t="n"/>
      <c r="AJ10" s="157" t="n"/>
      <c r="AK10" s="157" t="n"/>
      <c r="AL10" s="157" t="n"/>
      <c r="AM10" s="157" t="n"/>
      <c r="AN10" s="157" t="n"/>
      <c r="AO10" s="157" t="n"/>
      <c r="AP10" s="157" t="n"/>
      <c r="AQ10" s="157" t="n"/>
      <c r="AR10" s="157" t="n"/>
      <c r="AS10" s="157" t="n"/>
      <c r="AT10" s="157" t="n"/>
      <c r="AU10" s="157" t="n"/>
      <c r="AV10" s="157" t="n"/>
      <c r="AW10" s="157" t="n"/>
      <c r="AX10" s="157" t="n"/>
      <c r="AY10" s="157" t="n"/>
      <c r="AZ10" s="157" t="n"/>
      <c r="BA10" s="157" t="n"/>
      <c r="BB10" s="157" t="n"/>
      <c r="BC10" s="157" t="n"/>
      <c r="BD10" s="157" t="n"/>
      <c r="BE10" s="157" t="n"/>
      <c r="BF10" s="157" t="n"/>
      <c r="BG10" s="157" t="n"/>
      <c r="BH10" s="157" t="n"/>
      <c r="BI10" s="158" t="n"/>
    </row>
    <row r="11" ht="15.75" customHeight="1" thickBot="1">
      <c r="B11" s="159" t="n"/>
      <c r="C11" s="160" t="n"/>
      <c r="D11" s="160" t="n"/>
      <c r="E11" s="160" t="n"/>
      <c r="F11" s="160" t="n"/>
      <c r="G11" s="32" t="inlineStr">
        <is>
          <t>(Q1) TRIMESTRE 1</t>
        </is>
      </c>
      <c r="H11" s="33" t="n"/>
      <c r="I11" s="33" t="n"/>
      <c r="J11" s="33" t="n"/>
      <c r="K11" s="33" t="n"/>
      <c r="L11" s="33" t="n"/>
      <c r="M11" s="33" t="n"/>
      <c r="N11" s="33" t="n"/>
      <c r="O11" s="33" t="n"/>
      <c r="P11" s="33" t="n"/>
      <c r="Q11" s="33" t="n"/>
      <c r="R11" s="34" t="n"/>
      <c r="S11" s="35">
        <f>IF(S22="100%",((S12*0.8)+(S22*0.2)),S12)</f>
        <v/>
      </c>
      <c r="T11" s="36" t="inlineStr">
        <is>
          <t>(Q2) TRIMESTRE 2</t>
        </is>
      </c>
      <c r="U11" s="36" t="n"/>
      <c r="V11" s="36" t="n"/>
      <c r="W11" s="36" t="n"/>
      <c r="X11" s="36" t="n"/>
      <c r="Y11" s="36" t="n"/>
      <c r="Z11" s="36" t="n"/>
      <c r="AA11" s="36" t="n"/>
      <c r="AB11" s="36" t="n"/>
      <c r="AC11" s="36" t="n"/>
      <c r="AD11" s="36" t="n"/>
      <c r="AE11" s="36" t="n"/>
      <c r="AF11" s="35">
        <f>IF(AF22="100%",((AF12*0.8)+(AF22*0.2)),AF12)</f>
        <v/>
      </c>
      <c r="AG11" s="37">
        <f>IF(AG22="100%",((AG12*0.8)+(AG22*0.2)),AG12)</f>
        <v/>
      </c>
      <c r="AH11" s="38" t="inlineStr">
        <is>
          <t>(Q3) TRIMESTRE 3</t>
        </is>
      </c>
      <c r="AI11" s="39" t="n"/>
      <c r="AJ11" s="39" t="n"/>
      <c r="AK11" s="39" t="n"/>
      <c r="AL11" s="39" t="n"/>
      <c r="AM11" s="39" t="n"/>
      <c r="AN11" s="39" t="n"/>
      <c r="AO11" s="39" t="n"/>
      <c r="AP11" s="39" t="n"/>
      <c r="AQ11" s="39" t="n"/>
      <c r="AR11" s="39" t="n"/>
      <c r="AS11" s="39" t="n"/>
      <c r="AT11" s="40">
        <f>IF(AT22="100%",((AT12*0.8)+(AT22*0.2)),AT12)</f>
        <v/>
      </c>
      <c r="AU11" s="41" t="inlineStr">
        <is>
          <t>(Q4) TRIMESTRE 4</t>
        </is>
      </c>
      <c r="AV11" s="41" t="n"/>
      <c r="AW11" s="41" t="n"/>
      <c r="AX11" s="41" t="n"/>
      <c r="AY11" s="41" t="n"/>
      <c r="AZ11" s="41" t="n"/>
      <c r="BA11" s="41" t="n"/>
      <c r="BB11" s="41" t="n"/>
      <c r="BC11" s="41" t="n"/>
      <c r="BD11" s="41" t="n"/>
      <c r="BE11" s="41" t="n"/>
      <c r="BF11" s="41" t="n"/>
      <c r="BG11" s="35">
        <f>IF(BG22="100%",((BG12*0.8)+(BG22*0.2)),BG12)</f>
        <v/>
      </c>
      <c r="BH11" s="37">
        <f>IF(BH22="100%",((BH12*0.8)+(BH22*0.2)),BH12)</f>
        <v/>
      </c>
      <c r="BI11" s="42">
        <f>IF(BI22="100%",((BI12*0.8)+(BI22*0.2)),BI12)</f>
        <v/>
      </c>
      <c r="BJ11" s="161">
        <f>SUM(BJ14:BJ19)</f>
        <v/>
      </c>
    </row>
    <row r="12" ht="54.75" customHeight="1" thickBot="1">
      <c r="B12" s="159" t="n"/>
      <c r="C12" s="160" t="n"/>
      <c r="D12" s="160" t="n"/>
      <c r="E12" s="160" t="n"/>
      <c r="F12" s="160" t="n"/>
      <c r="G12" s="152" t="inlineStr">
        <is>
          <t>ENE</t>
        </is>
      </c>
      <c r="H12" s="157" t="n"/>
      <c r="I12" s="157" t="n"/>
      <c r="J12" s="162" t="n"/>
      <c r="K12" s="137" t="inlineStr">
        <is>
          <t>FEB</t>
        </is>
      </c>
      <c r="L12" s="157" t="n"/>
      <c r="M12" s="157" t="n"/>
      <c r="N12" s="162" t="n"/>
      <c r="O12" s="137" t="inlineStr">
        <is>
          <t>MAR</t>
        </is>
      </c>
      <c r="P12" s="157" t="n"/>
      <c r="Q12" s="157" t="n"/>
      <c r="R12" s="162" t="n"/>
      <c r="S12" s="44">
        <f>IFERROR(AVERAGE(S14:S19),0)</f>
        <v/>
      </c>
      <c r="T12" s="137" t="inlineStr">
        <is>
          <t>ABR</t>
        </is>
      </c>
      <c r="U12" s="157" t="n"/>
      <c r="V12" s="157" t="n"/>
      <c r="W12" s="162" t="n"/>
      <c r="X12" s="137" t="inlineStr">
        <is>
          <t>MAY</t>
        </is>
      </c>
      <c r="Y12" s="157" t="n"/>
      <c r="Z12" s="157" t="n"/>
      <c r="AA12" s="162" t="n"/>
      <c r="AB12" s="137" t="inlineStr">
        <is>
          <t>JUN</t>
        </is>
      </c>
      <c r="AC12" s="157" t="n"/>
      <c r="AD12" s="157" t="n"/>
      <c r="AE12" s="162" t="n"/>
      <c r="AF12" s="44">
        <f>IFERROR(AVERAGE(AF14:AF19),0)</f>
        <v/>
      </c>
      <c r="AG12" s="45">
        <f>IFERROR(AVERAGE(AG14:AG19),0)</f>
        <v/>
      </c>
      <c r="AH12" s="137" t="inlineStr">
        <is>
          <t>JUL</t>
        </is>
      </c>
      <c r="AI12" s="157" t="n"/>
      <c r="AJ12" s="157" t="n"/>
      <c r="AK12" s="162" t="n"/>
      <c r="AL12" s="137" t="inlineStr">
        <is>
          <t>AGO</t>
        </is>
      </c>
      <c r="AM12" s="157" t="n"/>
      <c r="AN12" s="157" t="n"/>
      <c r="AO12" s="162" t="n"/>
      <c r="AP12" s="137" t="inlineStr">
        <is>
          <t>SEP</t>
        </is>
      </c>
      <c r="AQ12" s="157" t="n"/>
      <c r="AR12" s="157" t="n"/>
      <c r="AS12" s="162" t="n"/>
      <c r="AT12" s="46">
        <f>IFERROR(AVERAGE(AT14:AT19),0)</f>
        <v/>
      </c>
      <c r="AU12" s="137" t="inlineStr">
        <is>
          <t>OCT</t>
        </is>
      </c>
      <c r="AV12" s="157" t="n"/>
      <c r="AW12" s="157" t="n"/>
      <c r="AX12" s="162" t="n"/>
      <c r="AY12" s="137" t="inlineStr">
        <is>
          <t>NOV</t>
        </is>
      </c>
      <c r="AZ12" s="157" t="n"/>
      <c r="BA12" s="157" t="n"/>
      <c r="BB12" s="162" t="n"/>
      <c r="BC12" s="137" t="inlineStr">
        <is>
          <t>DIC</t>
        </is>
      </c>
      <c r="BD12" s="157" t="n"/>
      <c r="BE12" s="157" t="n"/>
      <c r="BF12" s="162" t="n"/>
      <c r="BG12" s="47">
        <f>IFERROR(AVERAGE(BG14:BG19),0)</f>
        <v/>
      </c>
      <c r="BH12" s="48">
        <f>IFERROR(AVERAGE(BH14:BH19),0)</f>
        <v/>
      </c>
      <c r="BI12" s="42">
        <f>IFERROR(AVERAGE(BI14:BI19),0)</f>
        <v/>
      </c>
      <c r="BJ12" s="161" t="n"/>
    </row>
    <row r="13" ht="81.75" customFormat="1" customHeight="1" s="27" thickBot="1">
      <c r="B13" s="163" t="n"/>
      <c r="C13" s="164" t="n"/>
      <c r="D13" s="160" t="n"/>
      <c r="E13" s="164" t="n"/>
      <c r="F13" s="165" t="n"/>
      <c r="G13" s="49" t="inlineStr">
        <is>
          <t>Programado</t>
        </is>
      </c>
      <c r="H13" s="50" t="inlineStr">
        <is>
          <t>Realizado</t>
        </is>
      </c>
      <c r="I13" s="51" t="inlineStr">
        <is>
          <t>Cumplimiento</t>
        </is>
      </c>
      <c r="J13" s="52" t="inlineStr">
        <is>
          <t>Medio de verificación 
o 
Causal de 
Incumplimiento</t>
        </is>
      </c>
      <c r="K13" s="50" t="inlineStr">
        <is>
          <t>Programado</t>
        </is>
      </c>
      <c r="L13" s="50" t="inlineStr">
        <is>
          <t>Realizado</t>
        </is>
      </c>
      <c r="M13" s="51" t="inlineStr">
        <is>
          <t>Cumplimiento</t>
        </is>
      </c>
      <c r="N13" s="52" t="inlineStr">
        <is>
          <t>Medio de verificación 
o 
Causal de 
Incumplimiento</t>
        </is>
      </c>
      <c r="O13" s="50" t="inlineStr">
        <is>
          <t>Programado</t>
        </is>
      </c>
      <c r="P13" s="50" t="inlineStr">
        <is>
          <t>Realizado</t>
        </is>
      </c>
      <c r="Q13" s="51" t="inlineStr">
        <is>
          <t>Cumplimiento</t>
        </is>
      </c>
      <c r="R13" s="52" t="inlineStr">
        <is>
          <t>Medio de verificación 
o 
Causal de 
Incumplimiento</t>
        </is>
      </c>
      <c r="S13" s="53" t="inlineStr">
        <is>
          <t>Seguimiento
Trimestral</t>
        </is>
      </c>
      <c r="T13" s="50" t="inlineStr">
        <is>
          <t>Programado</t>
        </is>
      </c>
      <c r="U13" s="50" t="inlineStr">
        <is>
          <t>Realizado</t>
        </is>
      </c>
      <c r="V13" s="52" t="inlineStr">
        <is>
          <t>Cumplimiento</t>
        </is>
      </c>
      <c r="W13" s="52" t="inlineStr">
        <is>
          <t>Medio de verificación 
o 
Causal de 
Incumplimiento</t>
        </is>
      </c>
      <c r="X13" s="50" t="inlineStr">
        <is>
          <t>Programado</t>
        </is>
      </c>
      <c r="Y13" s="50" t="inlineStr">
        <is>
          <t>Realizado</t>
        </is>
      </c>
      <c r="Z13" s="52" t="inlineStr">
        <is>
          <t>Cumplimiento</t>
        </is>
      </c>
      <c r="AA13" s="52" t="inlineStr">
        <is>
          <t>Medio de verificación 
o 
Causal de 
Incumplimiento</t>
        </is>
      </c>
      <c r="AB13" s="50" t="inlineStr">
        <is>
          <t>Programado</t>
        </is>
      </c>
      <c r="AC13" s="50" t="inlineStr">
        <is>
          <t>Realizado</t>
        </is>
      </c>
      <c r="AD13" s="52" t="inlineStr">
        <is>
          <t>Cumplimiento</t>
        </is>
      </c>
      <c r="AE13" s="52" t="inlineStr">
        <is>
          <t>Medio de verificación 
o 
Causal de 
Incumplimiento</t>
        </is>
      </c>
      <c r="AF13" s="53" t="inlineStr">
        <is>
          <t>Seguimiento
Trimestral</t>
        </is>
      </c>
      <c r="AG13" s="54" t="inlineStr">
        <is>
          <t>Seguimiento
Semestral
(S1)</t>
        </is>
      </c>
      <c r="AH13" s="50" t="inlineStr">
        <is>
          <t>Programado</t>
        </is>
      </c>
      <c r="AI13" s="55" t="inlineStr">
        <is>
          <t>Realizado</t>
        </is>
      </c>
      <c r="AJ13" s="52" t="inlineStr">
        <is>
          <t>Cumplimiento</t>
        </is>
      </c>
      <c r="AK13" s="52" t="inlineStr">
        <is>
          <t>Medio de verificación 
o 
Causal de 
Incumplimiento</t>
        </is>
      </c>
      <c r="AL13" s="50" t="inlineStr">
        <is>
          <t>Programado</t>
        </is>
      </c>
      <c r="AM13" s="50" t="inlineStr">
        <is>
          <t>Realizado</t>
        </is>
      </c>
      <c r="AN13" s="52" t="inlineStr">
        <is>
          <t>Cumplimiento</t>
        </is>
      </c>
      <c r="AO13" s="52" t="inlineStr">
        <is>
          <t>Medio de verificación 
o 
Causal de 
Incumplimiento</t>
        </is>
      </c>
      <c r="AP13" s="50" t="inlineStr">
        <is>
          <t>Programado</t>
        </is>
      </c>
      <c r="AQ13" s="50" t="inlineStr">
        <is>
          <t>Realizado</t>
        </is>
      </c>
      <c r="AR13" s="52" t="inlineStr">
        <is>
          <t>Cumplimiento</t>
        </is>
      </c>
      <c r="AS13" s="52" t="inlineStr">
        <is>
          <t>Medio de verificación 
o 
Causal de 
Incumplimiento</t>
        </is>
      </c>
      <c r="AT13" s="56" t="inlineStr">
        <is>
          <t>Seguimiento
Trimestral</t>
        </is>
      </c>
      <c r="AU13" s="50" t="inlineStr">
        <is>
          <t>Programado</t>
        </is>
      </c>
      <c r="AV13" s="50" t="inlineStr">
        <is>
          <t>Realizado</t>
        </is>
      </c>
      <c r="AW13" s="57" t="inlineStr">
        <is>
          <t>Cumplimiento</t>
        </is>
      </c>
      <c r="AX13" s="52" t="inlineStr">
        <is>
          <t>Medio de verificación 
o 
Causal de 
Incumplimiento</t>
        </is>
      </c>
      <c r="AY13" s="50" t="inlineStr">
        <is>
          <t>Programado</t>
        </is>
      </c>
      <c r="AZ13" s="50" t="inlineStr">
        <is>
          <t>Realizado</t>
        </is>
      </c>
      <c r="BA13" s="52" t="inlineStr">
        <is>
          <t>Cumplimiento</t>
        </is>
      </c>
      <c r="BB13" s="52" t="inlineStr">
        <is>
          <t>Medio de verificación 
o 
Causal de 
Incumplimiento</t>
        </is>
      </c>
      <c r="BC13" s="50" t="inlineStr">
        <is>
          <t>Programado</t>
        </is>
      </c>
      <c r="BD13" s="50" t="inlineStr">
        <is>
          <t>Realizado</t>
        </is>
      </c>
      <c r="BE13" s="52" t="inlineStr">
        <is>
          <t>Cumplimiento</t>
        </is>
      </c>
      <c r="BF13" s="52" t="inlineStr">
        <is>
          <t>Medio de verificación 
o 
Causal de 
Incumplimiento</t>
        </is>
      </c>
      <c r="BG13" s="53" t="inlineStr">
        <is>
          <t>Seguimiento
Trimestral</t>
        </is>
      </c>
      <c r="BH13" s="54" t="inlineStr">
        <is>
          <t>Seguimiento
Semestral
(S2)</t>
        </is>
      </c>
      <c r="BI13" s="58" t="inlineStr">
        <is>
          <t>9. Promedio
Anual</t>
        </is>
      </c>
      <c r="BJ13" s="59" t="inlineStr">
        <is>
          <t>10. Total de 
Recursos
$$$</t>
        </is>
      </c>
    </row>
    <row r="14" ht="104.25" customHeight="1" thickBot="1">
      <c r="A14" s="60" t="n"/>
      <c r="B14" s="61" t="n">
        <v>1</v>
      </c>
      <c r="C14" s="62" t="n"/>
      <c r="D14" s="63" t="n"/>
      <c r="E14" s="64" t="n"/>
      <c r="F14" s="65" t="n"/>
      <c r="G14" s="66" t="n"/>
      <c r="H14" s="5" t="n"/>
      <c r="I14" s="68">
        <f>IFERROR(MIN(H14/G14, 1), "0%")</f>
        <v/>
      </c>
      <c r="J14" s="131" t="n"/>
      <c r="K14" s="69" t="n"/>
      <c r="L14" s="6" t="n"/>
      <c r="M14" s="68">
        <f>IFERROR(MIN(L14/K14, 1), "0%")</f>
        <v/>
      </c>
      <c r="N14" s="7" t="n"/>
      <c r="O14" s="67" t="n"/>
      <c r="P14" s="6" t="n"/>
      <c r="Q14" s="68">
        <f>IFERROR(MIN(P14/O14, 1), "0%")</f>
        <v/>
      </c>
      <c r="R14" s="7" t="n"/>
      <c r="S14" s="70">
        <f>IFERROR(AVERAGE(I14,M14,Q14),"VALORES NO COLOCADOS")</f>
        <v/>
      </c>
      <c r="T14" s="69" t="n"/>
      <c r="U14" s="11" t="n"/>
      <c r="V14" s="68">
        <f>IFERROR(MIN(U14/T14, 1), "0%")</f>
        <v/>
      </c>
      <c r="W14" s="131" t="n"/>
      <c r="X14" s="69" t="n"/>
      <c r="Y14" s="11" t="n"/>
      <c r="Z14" s="68">
        <f>IFERROR(MIN(Y14/X14, 1), "0%")</f>
        <v/>
      </c>
      <c r="AA14" s="131" t="n"/>
      <c r="AB14" s="69" t="n"/>
      <c r="AC14" s="11" t="n"/>
      <c r="AD14" s="68">
        <f>IFERROR(MIN(AC14/AB14, 1), "0%")</f>
        <v/>
      </c>
      <c r="AE14" s="133" t="n"/>
      <c r="AF14" s="71">
        <f>IFERROR(AVERAGE(V14,Z14,AD14),"VALORES NO COLOCADOS")</f>
        <v/>
      </c>
      <c r="AG14" s="72">
        <f>IFERROR(AVERAGE(S14,AF14),"VALORES NO COLOCADOS")</f>
        <v/>
      </c>
      <c r="AH14" s="73" t="n"/>
      <c r="AI14" s="134" t="n"/>
      <c r="AJ14" s="75">
        <f>IFERROR(MIN(AI14/AH14, 1), "0%")</f>
        <v/>
      </c>
      <c r="AK14" s="133" t="n"/>
      <c r="AL14" s="74" t="n"/>
      <c r="AM14" s="134" t="n"/>
      <c r="AN14" s="75">
        <f>IFERROR(MIN(AM14/AL14, 1), "0%")</f>
        <v/>
      </c>
      <c r="AO14" s="133" t="n"/>
      <c r="AP14" s="74" t="n"/>
      <c r="AQ14" s="134" t="n"/>
      <c r="AR14" s="75">
        <f>IFERROR(MIN(AQ14/AP14, 1), "0%")</f>
        <v/>
      </c>
      <c r="AS14" s="133" t="n"/>
      <c r="AT14" s="76">
        <f>IFERROR(AVERAGE(AJ14,AN14,AR14),"VALORES NO COLOCADOS")</f>
        <v/>
      </c>
      <c r="AU14" s="74" t="n"/>
      <c r="AV14" s="134" t="n"/>
      <c r="AW14" s="75">
        <f>IFERROR(MIN(AV14/AU14, 1), "0%")</f>
        <v/>
      </c>
      <c r="AX14" s="133" t="n"/>
      <c r="AY14" s="74" t="n"/>
      <c r="AZ14" s="134" t="n"/>
      <c r="BA14" s="75">
        <f>IFERROR(MIN(AZ14/AY14, 1), "0%")</f>
        <v/>
      </c>
      <c r="BB14" s="133" t="n"/>
      <c r="BC14" s="74" t="n"/>
      <c r="BD14" s="134" t="n"/>
      <c r="BE14" s="75">
        <f>IFERROR(MIN(BD14/BC14, 1), "0%")</f>
        <v/>
      </c>
      <c r="BF14" s="135" t="n"/>
      <c r="BG14" s="77">
        <f>IFERROR(AVERAGE(AW14,BA14,BE14),"VALORES NO COLOCADOS")</f>
        <v/>
      </c>
      <c r="BH14" s="78">
        <f>IFERROR(AVERAGE(AT14,BG14),"VALORES NO COLOCADOS")</f>
        <v/>
      </c>
      <c r="BI14" s="79">
        <f>IFERROR(AVERAGE(AG14,BH14),"VALORES NO COLOCADOS")</f>
        <v/>
      </c>
      <c r="BJ14" s="166" t="n"/>
    </row>
    <row r="15" ht="104.25" customHeight="1" thickBot="1">
      <c r="A15" s="60" t="n"/>
      <c r="B15" s="61" t="n">
        <v>2</v>
      </c>
      <c r="C15" s="81" t="n"/>
      <c r="D15" s="63" t="n"/>
      <c r="E15" s="64" t="n"/>
      <c r="F15" s="82" t="n"/>
      <c r="G15" s="83" t="n"/>
      <c r="H15" s="1" t="n"/>
      <c r="I15" s="85">
        <f>IFERROR(IF(H15/G15&lt;=1,H15/G15,"El valor excede al 100%, colocar el valor programado y trasladar el excedente a actividades no programadas en este mes"),"Actividad no programada")</f>
        <v/>
      </c>
      <c r="J15" s="132" t="n"/>
      <c r="K15" s="86" t="n"/>
      <c r="L15" s="3" t="n"/>
      <c r="M15" s="85">
        <f>IFERROR(IF(L15/K15&lt;=1,L15/K15,"El valor excede al 100%, colocar el valor programado y trasladar el excedente a actividades no programadas en este mes"),"Actividad no programada")</f>
        <v/>
      </c>
      <c r="N15" s="4" t="n"/>
      <c r="O15" s="84" t="n"/>
      <c r="P15" s="3" t="n"/>
      <c r="Q15" s="85">
        <f>IFERROR(IF(P15/O15&lt;=1,P15/O15,"El valor excede al 100%, colocar el valor programado y trasladar el excedente a actividades no programadas en este mes"),"Actividad no programada")</f>
        <v/>
      </c>
      <c r="R15" s="4" t="n"/>
      <c r="S15" s="87">
        <f>IFERROR(AVERAGE(I15,M15,Q15),"VALORES NO COLOCADOS")</f>
        <v/>
      </c>
      <c r="T15" s="86" t="n"/>
      <c r="U15" s="2" t="n"/>
      <c r="V15" s="85">
        <f>IFERROR(IF(U15/T15&lt;=1,U15/T15,"El valor excede al 100%, colocar el valor programado y trasladar el excedente a actividades no programadas en este mes"),"Actividad no programada")</f>
        <v/>
      </c>
      <c r="W15" s="132" t="n"/>
      <c r="X15" s="86" t="n"/>
      <c r="Y15" s="2" t="n"/>
      <c r="Z15" s="85">
        <f>IFERROR(IF(Y15/X15&lt;=1,Y15/X15,"El valor excede al 100%, colocar el valor programado y trasladar el excedente a actividades no programadas en este mes"),"Actividad no programada")</f>
        <v/>
      </c>
      <c r="AA15" s="132" t="n"/>
      <c r="AB15" s="86" t="n"/>
      <c r="AC15" s="2" t="n"/>
      <c r="AD15" s="85">
        <f>IFERROR(IF(AC15/AB15&lt;=1,AC15/AB15,"El valor excede al 100%, colocar el valor programado y trasladar el excedente a actividades no programadas en este mes"),"Actividad no programada")</f>
        <v/>
      </c>
      <c r="AE15" s="132" t="n"/>
      <c r="AF15" s="71">
        <f>IFERROR(AVERAGE(V15,Z15,AD15),"VALORES NO COLOCADOS")</f>
        <v/>
      </c>
      <c r="AG15" s="72">
        <f>IFERROR(AVERAGE(S15,AF15),"VALORES NO COLOCADOS")</f>
        <v/>
      </c>
      <c r="AH15" s="73" t="n"/>
      <c r="AI15" s="134" t="n"/>
      <c r="AJ15" s="75">
        <f>IFERROR(IF(AI15/AH15&lt;=1,AI15/AH15,"El valor excede al 100%, colocar el valor programado y trasladar el excedente a actividades no programadas en este mes"),"Actividad no programada")</f>
        <v/>
      </c>
      <c r="AK15" s="133" t="n"/>
      <c r="AL15" s="74" t="n"/>
      <c r="AM15" s="134" t="n"/>
      <c r="AN15" s="75">
        <f>IFERROR(IF(AM15/AL15&lt;=1,AM15/AL15,"El valor excede al 100%, colocar el valor programado y trasladar el excedente a actividades no programadas en este mes"),"Actividad no programada")</f>
        <v/>
      </c>
      <c r="AO15" s="133" t="n"/>
      <c r="AP15" s="74" t="n"/>
      <c r="AQ15" s="134" t="n"/>
      <c r="AR15" s="75">
        <f>IFERROR(IF(AQ15/AP15&lt;=1,AQ15/AP15,"El valor excede al 100%, colocar el valor programado y trasladar el excedente a actividades no programadas en este mes"),"Actividad no programada")</f>
        <v/>
      </c>
      <c r="AS15" s="133" t="n"/>
      <c r="AT15" s="76">
        <f>IFERROR(AVERAGE(AJ15,AN15,AR15),"VALORES NO COLOCADOS")</f>
        <v/>
      </c>
      <c r="AU15" s="74" t="n"/>
      <c r="AV15" s="134" t="n"/>
      <c r="AW15" s="75">
        <f>IFERROR(IF(AV15/AU15&lt;=1,AV15/AU15,"El valor excede al 100%, colocar el valor programado y trasladar el excedente a actividades no programadas en este mes"),"Actividad no programada")</f>
        <v/>
      </c>
      <c r="AX15" s="133" t="n"/>
      <c r="AY15" s="74" t="n"/>
      <c r="AZ15" s="134" t="n"/>
      <c r="BA15" s="75">
        <f>IFERROR(IF(AZ15/AY15&lt;=1,AZ15/AY15,"El valor excede al 100%, colocar el valor programado y trasladar el excedente a actividades no programadas en este mes"),"Actividad no programada")</f>
        <v/>
      </c>
      <c r="BB15" s="133" t="n"/>
      <c r="BC15" s="74" t="n"/>
      <c r="BD15" s="2" t="n"/>
      <c r="BE15" s="75">
        <f>IFERROR(IF(BD15/BC15&lt;=1,BD15/BC15,"El valor excede al 100%, colocar el valor programado y trasladar el excedente a actividades no programadas en este mes"),"Actividad no programada")</f>
        <v/>
      </c>
      <c r="BF15" s="136" t="n"/>
      <c r="BG15" s="77">
        <f>IFERROR(AVERAGE(AW15,BA15,BE15),"VALORES NO COLOCADOS")</f>
        <v/>
      </c>
      <c r="BH15" s="78">
        <f>IFERROR(AVERAGE(AT15,BG15),"VALORES NO COLOCADOS")</f>
        <v/>
      </c>
      <c r="BI15" s="79">
        <f>IFERROR(AVERAGE(AG15,BH15),"VALORES NO COLOCADOS")</f>
        <v/>
      </c>
      <c r="BJ15" s="166" t="n"/>
    </row>
    <row r="16" ht="104.25" customHeight="1" thickBot="1">
      <c r="A16" s="60" t="n"/>
      <c r="B16" s="61" t="n">
        <v>3</v>
      </c>
      <c r="C16" s="81" t="n"/>
      <c r="D16" s="63" t="n"/>
      <c r="E16" s="64" t="n"/>
      <c r="F16" s="82" t="n"/>
      <c r="G16" s="83" t="n"/>
      <c r="H16" s="1" t="n"/>
      <c r="I16" s="85">
        <f>IFERROR(IF(H16/G16&lt;=1,H16/G16,"El valor excede al 100%, colocar el valor programado y trasladar el excedente a actividades no programadas en este mes"),"Actividad no programada")</f>
        <v/>
      </c>
      <c r="J16" s="132" t="n"/>
      <c r="K16" s="86" t="n"/>
      <c r="L16" s="3" t="n"/>
      <c r="M16" s="85">
        <f>IFERROR(IF(L16/K16&lt;=1,L16/K16,"El valor excede al 100%, colocar el valor programado y trasladar el excedente a actividades no programadas en este mes"),"Actividad no programada")</f>
        <v/>
      </c>
      <c r="N16" s="4" t="n"/>
      <c r="O16" s="84" t="n"/>
      <c r="P16" s="3" t="n"/>
      <c r="Q16" s="85">
        <f>IFERROR(IF(P16/O16&lt;=1,P16/O16,"El valor excede al 100%, colocar el valor programado y trasladar el excedente a actividades no programadas en este mes"),"Actividad no programada")</f>
        <v/>
      </c>
      <c r="R16" s="4" t="n"/>
      <c r="S16" s="87">
        <f>IFERROR(AVERAGE(I16,M16,Q16),"VALORES NO COLOCADOS")</f>
        <v/>
      </c>
      <c r="T16" s="86" t="n"/>
      <c r="U16" s="2" t="n"/>
      <c r="V16" s="85">
        <f>IFERROR(IF(U16/T16&lt;=1,U16/T16,"El valor excede al 100%, colocar el valor programado y trasladar el excedente a actividades no programadas en este mes"),"Actividad no programada")</f>
        <v/>
      </c>
      <c r="W16" s="132" t="n"/>
      <c r="X16" s="86" t="n"/>
      <c r="Y16" s="2" t="n"/>
      <c r="Z16" s="85">
        <f>IFERROR(IF(Y16/X16&lt;=1,Y16/X16,"El valor excede al 100%, colocar el valor programado y trasladar el excedente a actividades no programadas en este mes"),"Actividad no programada")</f>
        <v/>
      </c>
      <c r="AA16" s="132" t="n"/>
      <c r="AB16" s="86" t="n"/>
      <c r="AC16" s="2" t="n"/>
      <c r="AD16" s="85">
        <f>IFERROR(IF(AC16/AB16&lt;=1,AC16/AB16,"El valor excede al 100%, colocar el valor programado y trasladar el excedente a actividades no programadas en este mes"),"Actividad no programada")</f>
        <v/>
      </c>
      <c r="AE16" s="132" t="n"/>
      <c r="AF16" s="71">
        <f>IFERROR(AVERAGE(V16,Z16,AD16),"VALORES NO COLOCADOS")</f>
        <v/>
      </c>
      <c r="AG16" s="72">
        <f>IFERROR(AVERAGE(S16,AF16),"VALORES NO COLOCADOS")</f>
        <v/>
      </c>
      <c r="AH16" s="73" t="n"/>
      <c r="AI16" s="134" t="n"/>
      <c r="AJ16" s="75">
        <f>IFERROR(IF(AI16/AH16&lt;=1,AI16/AH16,"El valor excede al 100%, colocar el valor programado y trasladar el excedente a actividades no programadas en este mes"),"Actividad no programada")</f>
        <v/>
      </c>
      <c r="AK16" s="133" t="n"/>
      <c r="AL16" s="74" t="n"/>
      <c r="AM16" s="134" t="n"/>
      <c r="AN16" s="75">
        <f>IFERROR(IF(AM16/AL16&lt;=1,AM16/AL16,"El valor excede al 100%, colocar el valor programado y trasladar el excedente a actividades no programadas en este mes"),"Actividad no programada")</f>
        <v/>
      </c>
      <c r="AO16" s="133" t="n"/>
      <c r="AP16" s="74" t="n"/>
      <c r="AQ16" s="134" t="n"/>
      <c r="AR16" s="75">
        <f>IFERROR(IF(AQ16/AP16&lt;=1,AQ16/AP16,"El valor excede al 100%, colocar el valor programado y trasladar el excedente a actividades no programadas en este mes"),"Actividad no programada")</f>
        <v/>
      </c>
      <c r="AS16" s="133" t="n"/>
      <c r="AT16" s="76">
        <f>IFERROR(AVERAGE(AJ16,AN16,AR16),"VALORES NO COLOCADOS")</f>
        <v/>
      </c>
      <c r="AU16" s="74" t="n"/>
      <c r="AV16" s="134" t="n"/>
      <c r="AW16" s="75">
        <f>IFERROR(IF(AV16/AU16&lt;=1,AV16/AU16,"El valor excede al 100%, colocar el valor programado y trasladar el excedente a actividades no programadas en este mes"),"Actividad no programada")</f>
        <v/>
      </c>
      <c r="AX16" s="133" t="n"/>
      <c r="AY16" s="74" t="n"/>
      <c r="AZ16" s="134" t="n"/>
      <c r="BA16" s="75">
        <f>IFERROR(IF(AZ16/AY16&lt;=1,AZ16/AY16,"El valor excede al 100%, colocar el valor programado y trasladar el excedente a actividades no programadas en este mes"),"Actividad no programada")</f>
        <v/>
      </c>
      <c r="BB16" s="133" t="n"/>
      <c r="BC16" s="74" t="n"/>
      <c r="BD16" s="2" t="n"/>
      <c r="BE16" s="75">
        <f>IFERROR(IF(BD16/BC16&lt;=1,BD16/BC16,"El valor excede al 100%, colocar el valor programado y trasladar el excedente a actividades no programadas en este mes"),"Actividad no programada")</f>
        <v/>
      </c>
      <c r="BF16" s="136" t="n"/>
      <c r="BG16" s="77">
        <f>IFERROR(AVERAGE(AW16,BA16,BE16),"VALORES NO COLOCADOS")</f>
        <v/>
      </c>
      <c r="BH16" s="78">
        <f>IFERROR(AVERAGE(AT16,BG16),"VALORES NO COLOCADOS")</f>
        <v/>
      </c>
      <c r="BI16" s="79">
        <f>IFERROR(AVERAGE(AG16,BH16),"VALORES NO COLOCADOS")</f>
        <v/>
      </c>
      <c r="BJ16" s="166" t="n"/>
    </row>
    <row r="17" ht="104.25" customHeight="1" thickBot="1">
      <c r="A17" s="60" t="n"/>
      <c r="B17" s="61" t="n">
        <v>4</v>
      </c>
      <c r="C17" s="81" t="n"/>
      <c r="D17" s="63" t="n"/>
      <c r="E17" s="64" t="n"/>
      <c r="F17" s="82" t="n"/>
      <c r="G17" s="83" t="n"/>
      <c r="H17" s="1" t="n"/>
      <c r="I17" s="85">
        <f>IFERROR(IF(H17/G17&lt;=1,H17/G17,"El valor excede al 100%, colocar el valor programado y trasladar el excedente a actividades no programadas en este mes"),"Actividad no programada")</f>
        <v/>
      </c>
      <c r="J17" s="132" t="n"/>
      <c r="K17" s="86" t="n"/>
      <c r="L17" s="3" t="n"/>
      <c r="M17" s="85">
        <f>IFERROR(IF(L17/K17&lt;=1,L17/K17,"El valor excede al 100%, colocar el valor programado y trasladar el excedente a actividades no programadas en este mes"),"Actividad no programada")</f>
        <v/>
      </c>
      <c r="N17" s="4" t="n"/>
      <c r="O17" s="84" t="n"/>
      <c r="P17" s="3" t="n"/>
      <c r="Q17" s="85">
        <f>IFERROR(IF(P17/O17&lt;=1,P17/O17,"El valor excede al 100%, colocar el valor programado y trasladar el excedente a actividades no programadas en este mes"),"Actividad no programada")</f>
        <v/>
      </c>
      <c r="R17" s="4" t="n"/>
      <c r="S17" s="87">
        <f>IFERROR(AVERAGE(I17,M17,Q17),"VALORES NO COLOCADOS")</f>
        <v/>
      </c>
      <c r="T17" s="86" t="n"/>
      <c r="U17" s="2" t="n"/>
      <c r="V17" s="85">
        <f>IFERROR(IF(U17/T17&lt;=1,U17/T17,"El valor excede al 100%, colocar el valor programado y trasladar el excedente a actividades no programadas en este mes"),"Actividad no programada")</f>
        <v/>
      </c>
      <c r="W17" s="132" t="n"/>
      <c r="X17" s="86" t="n"/>
      <c r="Y17" s="2" t="n"/>
      <c r="Z17" s="85">
        <f>IFERROR(IF(Y17/X17&lt;=1,Y17/X17,"El valor excede al 100%, colocar el valor programado y trasladar el excedente a actividades no programadas en este mes"),"Actividad no programada")</f>
        <v/>
      </c>
      <c r="AA17" s="132" t="n"/>
      <c r="AB17" s="86" t="n"/>
      <c r="AC17" s="2" t="n"/>
      <c r="AD17" s="85">
        <f>IFERROR(IF(AC17/AB17&lt;=1,AC17/AB17,"El valor excede al 100%, colocar el valor programado y trasladar el excedente a actividades no programadas en este mes"),"Actividad no programada")</f>
        <v/>
      </c>
      <c r="AE17" s="132" t="n"/>
      <c r="AF17" s="71">
        <f>IFERROR(AVERAGE(V17,Z17,AD17),"VALORES NO COLOCADOS")</f>
        <v/>
      </c>
      <c r="AG17" s="72">
        <f>IFERROR(AVERAGE(S17,AF17),"VALORES NO COLOCADOS")</f>
        <v/>
      </c>
      <c r="AH17" s="73" t="n"/>
      <c r="AI17" s="134" t="n"/>
      <c r="AJ17" s="75">
        <f>IFERROR(IF(AI17/AH17&lt;=1,AI17/AH17,"El valor excede al 100%, colocar el valor programado y trasladar el excedente a actividades no programadas en este mes"),"Actividad no programada")</f>
        <v/>
      </c>
      <c r="AK17" s="133" t="n"/>
      <c r="AL17" s="74" t="n"/>
      <c r="AM17" s="134" t="n"/>
      <c r="AN17" s="75">
        <f>IFERROR(IF(AM17/AL17&lt;=1,AM17/AL17,"El valor excede al 100%, colocar el valor programado y trasladar el excedente a actividades no programadas en este mes"),"Actividad no programada")</f>
        <v/>
      </c>
      <c r="AO17" s="133" t="n"/>
      <c r="AP17" s="74" t="n"/>
      <c r="AQ17" s="134" t="n"/>
      <c r="AR17" s="75">
        <f>IFERROR(IF(AQ17/AP17&lt;=1,AQ17/AP17,"El valor excede al 100%, colocar el valor programado y trasladar el excedente a actividades no programadas en este mes"),"Actividad no programada")</f>
        <v/>
      </c>
      <c r="AS17" s="133" t="n"/>
      <c r="AT17" s="76">
        <f>IFERROR(AVERAGE(AJ17,AN17,AR17),"VALORES NO COLOCADOS")</f>
        <v/>
      </c>
      <c r="AU17" s="74" t="n"/>
      <c r="AV17" s="134" t="n"/>
      <c r="AW17" s="75">
        <f>IFERROR(IF(AV17/AU17&lt;=1,AV17/AU17,"El valor excede al 100%, colocar el valor programado y trasladar el excedente a actividades no programadas en este mes"),"Actividad no programada")</f>
        <v/>
      </c>
      <c r="AX17" s="133" t="n"/>
      <c r="AY17" s="74" t="n"/>
      <c r="AZ17" s="134" t="n"/>
      <c r="BA17" s="75">
        <f>IFERROR(IF(AZ17/AY17&lt;=1,AZ17/AY17,"El valor excede al 100%, colocar el valor programado y trasladar el excedente a actividades no programadas en este mes"),"Actividad no programada")</f>
        <v/>
      </c>
      <c r="BB17" s="133" t="n"/>
      <c r="BC17" s="74" t="n"/>
      <c r="BD17" s="2" t="n"/>
      <c r="BE17" s="75">
        <f>IFERROR(IF(BD17/BC17&lt;=1,BD17/BC17,"El valor excede al 100%, colocar el valor programado y trasladar el excedente a actividades no programadas en este mes"),"Actividad no programada")</f>
        <v/>
      </c>
      <c r="BF17" s="136" t="n"/>
      <c r="BG17" s="77">
        <f>IFERROR(AVERAGE(AW17,BA17,BE17),"VALORES NO COLOCADOS")</f>
        <v/>
      </c>
      <c r="BH17" s="78">
        <f>IFERROR(AVERAGE(AT17,BG17),"VALORES NO COLOCADOS")</f>
        <v/>
      </c>
      <c r="BI17" s="79">
        <f>IFERROR(AVERAGE(AG17,BH17),"VALORES NO COLOCADOS")</f>
        <v/>
      </c>
      <c r="BJ17" s="166" t="n"/>
    </row>
    <row r="18" ht="104.25" customHeight="1" thickBot="1">
      <c r="A18" s="60" t="n"/>
      <c r="B18" s="61" t="n">
        <v>5</v>
      </c>
      <c r="C18" s="81" t="n"/>
      <c r="D18" s="63" t="n"/>
      <c r="E18" s="64" t="n"/>
      <c r="F18" s="82" t="n"/>
      <c r="G18" s="83" t="n"/>
      <c r="H18" s="1" t="n"/>
      <c r="I18" s="85">
        <f>IFERROR(IF(H18/G18&lt;=1,H18/G18,"El valor excede al 100%, colocar el valor programado y trasladar el excedente a actividades no programadas en este mes"),"Actividad no programada")</f>
        <v/>
      </c>
      <c r="J18" s="132" t="n"/>
      <c r="K18" s="86" t="n"/>
      <c r="L18" s="3" t="n"/>
      <c r="M18" s="85">
        <f>IFERROR(IF(L18/K18&lt;=1,L18/K18,"El valor excede al 100%, colocar el valor programado y trasladar el excedente a actividades no programadas en este mes"),"Actividad no programada")</f>
        <v/>
      </c>
      <c r="N18" s="4" t="n"/>
      <c r="O18" s="84" t="n"/>
      <c r="P18" s="3" t="n"/>
      <c r="Q18" s="85">
        <f>IFERROR(IF(P18/O18&lt;=1,P18/O18,"El valor excede al 100%, colocar el valor programado y trasladar el excedente a actividades no programadas en este mes"),"Actividad no programada")</f>
        <v/>
      </c>
      <c r="R18" s="4" t="n"/>
      <c r="S18" s="87">
        <f>IFERROR(AVERAGE(I18,M18,Q18),"VALORES NO COLOCADOS")</f>
        <v/>
      </c>
      <c r="T18" s="86" t="n"/>
      <c r="U18" s="2" t="n"/>
      <c r="V18" s="85">
        <f>IFERROR(IF(U18/T18&lt;=1,U18/T18,"El valor excede al 100%, colocar el valor programado y trasladar el excedente a actividades no programadas en este mes"),"Actividad no programada")</f>
        <v/>
      </c>
      <c r="W18" s="132" t="n"/>
      <c r="X18" s="86" t="n"/>
      <c r="Y18" s="2" t="n"/>
      <c r="Z18" s="85">
        <f>IFERROR(IF(Y18/X18&lt;=1,Y18/X18,"El valor excede al 100%, colocar el valor programado y trasladar el excedente a actividades no programadas en este mes"),"Actividad no programada")</f>
        <v/>
      </c>
      <c r="AA18" s="132" t="n"/>
      <c r="AB18" s="86" t="n"/>
      <c r="AC18" s="2" t="n"/>
      <c r="AD18" s="85">
        <f>IFERROR(IF(AC18/AB18&lt;=1,AC18/AB18,"El valor excede al 100%, colocar el valor programado y trasladar el excedente a actividades no programadas en este mes"),"Actividad no programada")</f>
        <v/>
      </c>
      <c r="AE18" s="132" t="n"/>
      <c r="AF18" s="71">
        <f>IFERROR(AVERAGE(V18,Z18,AD18),"VALORES NO COLOCADOS")</f>
        <v/>
      </c>
      <c r="AG18" s="72">
        <f>IFERROR(AVERAGE(S18,AF18),"VALORES NO COLOCADOS")</f>
        <v/>
      </c>
      <c r="AH18" s="73" t="n"/>
      <c r="AI18" s="134" t="n"/>
      <c r="AJ18" s="75">
        <f>IFERROR(IF(AI18/AH18&lt;=1,AI18/AH18,"El valor excede al 100%, colocar el valor programado y trasladar el excedente a actividades no programadas en este mes"),"Actividad no programada")</f>
        <v/>
      </c>
      <c r="AK18" s="133" t="n"/>
      <c r="AL18" s="74" t="n"/>
      <c r="AM18" s="134" t="n"/>
      <c r="AN18" s="75">
        <f>IFERROR(IF(AM18/AL18&lt;=1,AM18/AL18,"El valor excede al 100%, colocar el valor programado y trasladar el excedente a actividades no programadas en este mes"),"Actividad no programada")</f>
        <v/>
      </c>
      <c r="AO18" s="133" t="n"/>
      <c r="AP18" s="74" t="n"/>
      <c r="AQ18" s="134" t="n"/>
      <c r="AR18" s="75">
        <f>IFERROR(IF(AQ18/AP18&lt;=1,AQ18/AP18,"El valor excede al 100%, colocar el valor programado y trasladar el excedente a actividades no programadas en este mes"),"Actividad no programada")</f>
        <v/>
      </c>
      <c r="AS18" s="133" t="n"/>
      <c r="AT18" s="76">
        <f>IFERROR(AVERAGE(AJ18,AN18,AR18),"VALORES NO COLOCADOS")</f>
        <v/>
      </c>
      <c r="AU18" s="74" t="n"/>
      <c r="AV18" s="134" t="n"/>
      <c r="AW18" s="75">
        <f>IFERROR(IF(AV18/AU18&lt;=1,AV18/AU18,"El valor excede al 100%, colocar el valor programado y trasladar el excedente a actividades no programadas en este mes"),"Actividad no programada")</f>
        <v/>
      </c>
      <c r="AX18" s="133" t="n"/>
      <c r="AY18" s="74" t="n"/>
      <c r="AZ18" s="134" t="n"/>
      <c r="BA18" s="75">
        <f>IFERROR(IF(AZ18/AY18&lt;=1,AZ18/AY18,"El valor excede al 100%, colocar el valor programado y trasladar el excedente a actividades no programadas en este mes"),"Actividad no programada")</f>
        <v/>
      </c>
      <c r="BB18" s="133" t="n"/>
      <c r="BC18" s="74" t="n"/>
      <c r="BD18" s="2" t="n"/>
      <c r="BE18" s="75">
        <f>IFERROR(IF(BD18/BC18&lt;=1,BD18/BC18,"El valor excede al 100%, colocar el valor programado y trasladar el excedente a actividades no programadas en este mes"),"Actividad no programada")</f>
        <v/>
      </c>
      <c r="BF18" s="136" t="n"/>
      <c r="BG18" s="77">
        <f>IFERROR(AVERAGE(AW18,BA18,BE18),"VALORES NO COLOCADOS")</f>
        <v/>
      </c>
      <c r="BH18" s="78">
        <f>IFERROR(AVERAGE(AT18,BG18),"VALORES NO COLOCADOS")</f>
        <v/>
      </c>
      <c r="BI18" s="79">
        <f>IFERROR(AVERAGE(AG18,BH18),"VALORES NO COLOCADOS")</f>
        <v/>
      </c>
      <c r="BJ18" s="166" t="n"/>
    </row>
    <row r="19" ht="104.25" customHeight="1" thickBot="1">
      <c r="A19" s="60" t="n"/>
      <c r="B19" s="61" t="n">
        <v>6</v>
      </c>
      <c r="C19" s="88" t="n"/>
      <c r="D19" s="63" t="n"/>
      <c r="E19" s="64" t="n"/>
      <c r="F19" s="82" t="n"/>
      <c r="G19" s="89" t="n"/>
      <c r="H19" s="14" t="n"/>
      <c r="I19" s="91">
        <f>IFERROR(IF(H19/G19&lt;=1,H19/G19,"El valor excede al 100%, colocar el valor programado y trasladar el excedente a actividades no programadas en este mes"),"Actividad no programada")</f>
        <v/>
      </c>
      <c r="J19" s="130" t="n"/>
      <c r="K19" s="90" t="n"/>
      <c r="L19" s="14" t="n"/>
      <c r="M19" s="91">
        <f>IFERROR(IF(L19/K19&lt;=1,L19/K19,"El valor excede al 100%, colocar el valor programado y trasladar el excedente a actividades no programadas en este mes"),"Actividad no programada")</f>
        <v/>
      </c>
      <c r="N19" s="14" t="n"/>
      <c r="O19" s="90" t="n"/>
      <c r="P19" s="14" t="n"/>
      <c r="Q19" s="91">
        <f>IFERROR(IF(P19/O19&lt;=1,P19/O19,"El valor excede al 100%, colocar el valor programado y trasladar el excedente a actividades no programadas en este mes"),"Actividad no programada")</f>
        <v/>
      </c>
      <c r="R19" s="14" t="n"/>
      <c r="S19" s="92">
        <f>IFERROR(AVERAGE(I19,M19,Q19),"VALORES NO COLOCADOS")</f>
        <v/>
      </c>
      <c r="T19" s="90" t="n"/>
      <c r="U19" s="130" t="n"/>
      <c r="V19" s="91">
        <f>IFERROR(IF(U19/T19&lt;=1,U19/T19,"El valor excede al 100%, colocar el valor programado y trasladar el excedente a actividades no programadas en este mes"),"Actividad no programada")</f>
        <v/>
      </c>
      <c r="W19" s="130" t="n"/>
      <c r="X19" s="90" t="n"/>
      <c r="Y19" s="130" t="n"/>
      <c r="Z19" s="91">
        <f>IFERROR(IF(Y19/X19&lt;=1,Y19/X19,"El valor excede al 100%, colocar el valor programado y trasladar el excedente a actividades no programadas en este mes"),"Actividad no programada")</f>
        <v/>
      </c>
      <c r="AA19" s="130" t="n"/>
      <c r="AB19" s="90" t="n"/>
      <c r="AC19" s="130" t="n"/>
      <c r="AD19" s="91">
        <f>IFERROR(IF(AC19/AB19&lt;=1,AC19/AB19,"El valor excede al 100%, colocar el valor programado y trasladar el excedente a actividades no programadas en este mes"),"Actividad no programada")</f>
        <v/>
      </c>
      <c r="AE19" s="2" t="n"/>
      <c r="AF19" s="71">
        <f>IFERROR(AVERAGE(V19,Z19,AD19),"VALORES NO COLOCADOS")</f>
        <v/>
      </c>
      <c r="AG19" s="72">
        <f>IFERROR(AVERAGE(S19,AF19),"VALORES NO COLOCADOS")</f>
        <v/>
      </c>
      <c r="AH19" s="86" t="n"/>
      <c r="AI19" s="2" t="n"/>
      <c r="AJ19" s="75">
        <f>IFERROR(IF(AI19/AH19&lt;=1,AI19/AH19,"El valor excede al 100%, colocar el valor programado y trasladar el excedente a actividades no programadas en este mes"),"Actividad no programada")</f>
        <v/>
      </c>
      <c r="AK19" s="2" t="n"/>
      <c r="AL19" s="86" t="n"/>
      <c r="AM19" s="2" t="n"/>
      <c r="AN19" s="75">
        <f>IFERROR(IF(AM19/AL19&lt;=1,AM19/AL19,"El valor excede al 100%, colocar el valor programado y trasladar el excedente a actividades no programadas en este mes"),"Actividad no programada")</f>
        <v/>
      </c>
      <c r="AO19" s="2" t="n"/>
      <c r="AP19" s="86" t="n"/>
      <c r="AQ19" s="2" t="n"/>
      <c r="AR19" s="75">
        <f>IFERROR(IF(AQ19/AP19&lt;=1,AQ19/AP19,"El valor excede al 100%, colocar el valor programado y trasladar el excedente a actividades no programadas en este mes"),"Actividad no programada")</f>
        <v/>
      </c>
      <c r="AS19" s="2" t="n"/>
      <c r="AT19" s="76">
        <f>IFERROR(AVERAGE(AJ19,AN19,AR19),"VALORES NO COLOCADOS")</f>
        <v/>
      </c>
      <c r="AU19" s="86" t="n"/>
      <c r="AV19" s="2" t="n"/>
      <c r="AW19" s="75">
        <f>IFERROR(IF(AV19/AU19&lt;=1,AV19/AU19,"El valor excede al 100%, colocar el valor programado y trasladar el excedente a actividades no programadas en este mes"),"Actividad no programada")</f>
        <v/>
      </c>
      <c r="AX19" s="133" t="n"/>
      <c r="AY19" s="74" t="n"/>
      <c r="AZ19" s="134" t="n"/>
      <c r="BA19" s="75">
        <f>IFERROR(IF(AZ19/AY19&lt;=1,AZ19/AY19,"El valor excede al 100%, colocar el valor programado y trasladar el excedente a actividades no programadas en este mes"),"Actividad no programada")</f>
        <v/>
      </c>
      <c r="BB19" s="133" t="n"/>
      <c r="BC19" s="74" t="n"/>
      <c r="BD19" s="2" t="n"/>
      <c r="BE19" s="75">
        <f>IFERROR(IF(BD19/BC19&lt;=1,BD19/BC19,"El valor excede al 100%, colocar el valor programado y trasladar el excedente a actividades no programadas en este mes"),"Actividad no programada")</f>
        <v/>
      </c>
      <c r="BF19" s="136" t="n"/>
      <c r="BG19" s="77">
        <f>IFERROR(AVERAGE(AW19,BA19,BE19),"VALORES NO COLOCADOS")</f>
        <v/>
      </c>
      <c r="BH19" s="78">
        <f>IFERROR(AVERAGE(AT19,BG19),"VALORES NO COLOCADOS")</f>
        <v/>
      </c>
      <c r="BI19" s="79">
        <f>IFERROR(AVERAGE(AG19,BH19),"VALORES NO COLOCADOS")</f>
        <v/>
      </c>
      <c r="BJ19" s="167" t="n"/>
    </row>
    <row r="20" ht="104.25" customHeight="1" thickBot="1">
      <c r="A20" s="60" t="n"/>
      <c r="B20" s="61" t="n">
        <v>7</v>
      </c>
      <c r="C20" s="88" t="n"/>
      <c r="D20" s="63" t="n"/>
      <c r="E20" s="64" t="n"/>
      <c r="F20" s="82" t="n"/>
      <c r="G20" s="86" t="n"/>
      <c r="H20" s="3" t="n"/>
      <c r="I20" s="85">
        <f>IFERROR(IF(H20/G20&lt;=1,H20/G20,"El valor excede al 100%, colocar el valor programado y trasladar el excedente a actividades no programadas en este mes"),"Actividad no programada")</f>
        <v/>
      </c>
      <c r="J20" s="2" t="n"/>
      <c r="K20" s="86" t="n"/>
      <c r="L20" s="3" t="n"/>
      <c r="M20" s="85">
        <f>IFERROR(IF(L20/K20&lt;=1,L20/K20,"El valor excede al 100%, colocar el valor programado y trasladar el excedente a actividades no programadas en este mes"),"Actividad no programada")</f>
        <v/>
      </c>
      <c r="N20" s="3" t="n"/>
      <c r="O20" s="86" t="n"/>
      <c r="P20" s="3" t="n"/>
      <c r="Q20" s="85">
        <f>IFERROR(IF(P20/O20&lt;=1,P20/O20,"El valor excede al 100%, colocar el valor programado y trasladar el excedente a actividades no programadas en este mes"),"Actividad no programada")</f>
        <v/>
      </c>
      <c r="R20" s="3" t="n"/>
      <c r="S20" s="87">
        <f>IFERROR(AVERAGE(I20,M20,Q20),"VALORES NO COLOCADOS")</f>
        <v/>
      </c>
      <c r="T20" s="86" t="n"/>
      <c r="U20" s="2" t="n"/>
      <c r="V20" s="85">
        <f>IFERROR(IF(U20/T20&lt;=1,U20/T20,"El valor excede al 100%, colocar el valor programado y trasladar el excedente a actividades no programadas en este mes"),"Actividad no programada")</f>
        <v/>
      </c>
      <c r="W20" s="2" t="n"/>
      <c r="X20" s="86" t="n"/>
      <c r="Y20" s="2" t="n"/>
      <c r="Z20" s="85">
        <f>IFERROR(IF(Y20/X20&lt;=1,Y20/X20,"El valor excede al 100%, colocar el valor programado y trasladar el excedente a actividades no programadas en este mes"),"Actividad no programada")</f>
        <v/>
      </c>
      <c r="AA20" s="2" t="n"/>
      <c r="AB20" s="86" t="n"/>
      <c r="AC20" s="2" t="n"/>
      <c r="AD20" s="85">
        <f>IFERROR(IF(AC20/AB20&lt;=1,AC20/AB20,"El valor excede al 100%, colocar el valor programado y trasladar el excedente a actividades no programadas en este mes"),"Actividad no programada")</f>
        <v/>
      </c>
      <c r="AE20" s="2" t="n"/>
      <c r="AF20" s="71">
        <f>IFERROR(AVERAGE(V20,Z20,AD20),"VALORES NO COLOCADOS")</f>
        <v/>
      </c>
      <c r="AG20" s="72">
        <f>IFERROR(AVERAGE(S20,AF20),"VALORES NO COLOCADOS")</f>
        <v/>
      </c>
      <c r="AH20" s="86" t="n"/>
      <c r="AI20" s="2" t="n"/>
      <c r="AJ20" s="75">
        <f>IFERROR(IF(AI20/AH20&lt;=1,AI20/AH20,"El valor excede al 100%, colocar el valor programado y trasladar el excedente a actividades no programadas en este mes"),"Actividad no programada")</f>
        <v/>
      </c>
      <c r="AK20" s="2" t="n"/>
      <c r="AL20" s="86" t="n"/>
      <c r="AM20" s="2" t="n"/>
      <c r="AN20" s="75">
        <f>IFERROR(IF(AM20/AL20&lt;=1,AM20/AL20,"El valor excede al 100%, colocar el valor programado y trasladar el excedente a actividades no programadas en este mes"),"Actividad no programada")</f>
        <v/>
      </c>
      <c r="AO20" s="2" t="n"/>
      <c r="AP20" s="86" t="n"/>
      <c r="AQ20" s="2" t="n"/>
      <c r="AR20" s="75">
        <f>IFERROR(IF(AQ20/AP20&lt;=1,AQ20/AP20,"El valor excede al 100%, colocar el valor programado y trasladar el excedente a actividades no programadas en este mes"),"Actividad no programada")</f>
        <v/>
      </c>
      <c r="AS20" s="2" t="n"/>
      <c r="AT20" s="76">
        <f>IFERROR(AVERAGE(AJ20,AN20,AR20),"VALORES NO COLOCADOS")</f>
        <v/>
      </c>
      <c r="AU20" s="86" t="n"/>
      <c r="AV20" s="2" t="n"/>
      <c r="AW20" s="75">
        <f>IFERROR(IF(AV20/AU20&lt;=1,AV20/AU20,"El valor excede al 100%, colocar el valor programado y trasladar el excedente a actividades no programadas en este mes"),"Actividad no programada")</f>
        <v/>
      </c>
      <c r="AX20" s="133" t="n"/>
      <c r="AY20" s="74" t="n"/>
      <c r="AZ20" s="134" t="n"/>
      <c r="BA20" s="75">
        <f>IFERROR(IF(AZ20/AY20&lt;=1,AZ20/AY20,"El valor excede al 100%, colocar el valor programado y trasladar el excedente a actividades no programadas en este mes"),"Actividad no programada")</f>
        <v/>
      </c>
      <c r="BB20" s="133" t="n"/>
      <c r="BC20" s="74" t="n"/>
      <c r="BD20" s="2" t="n"/>
      <c r="BE20" s="75">
        <f>IFERROR(IF(BD20/BC20&lt;=1,BD20/BC20,"El valor excede al 100%, colocar el valor programado y trasladar el excedente a actividades no programadas en este mes"),"Actividad no programada")</f>
        <v/>
      </c>
      <c r="BF20" s="136" t="n"/>
      <c r="BG20" s="77">
        <f>IFERROR(AVERAGE(AW20,BA20,BE20),"VALORES NO COLOCADOS")</f>
        <v/>
      </c>
      <c r="BH20" s="78">
        <f>IFERROR(AVERAGE(AT20,BG20),"VALORES NO COLOCADOS")</f>
        <v/>
      </c>
      <c r="BI20" s="79">
        <f>IFERROR(AVERAGE(AG20,BH20),"VALORES NO COLOCADOS")</f>
        <v/>
      </c>
      <c r="BJ20" s="167" t="n"/>
    </row>
    <row r="21" ht="104.25" customHeight="1" thickBot="1">
      <c r="A21" s="60" t="n"/>
      <c r="B21" s="61" t="n">
        <v>8</v>
      </c>
      <c r="C21" s="88" t="n"/>
      <c r="D21" s="63" t="n"/>
      <c r="E21" s="64" t="n"/>
      <c r="F21" s="82" t="n"/>
      <c r="G21" s="86" t="n"/>
      <c r="H21" s="3" t="n"/>
      <c r="I21" s="85">
        <f>IFERROR(IF(H21/G21&lt;=1,H21/G21,"El valor excede al 100%, colocar el valor programado y trasladar el excedente a actividades no programadas en este mes"),"Actividad no programada")</f>
        <v/>
      </c>
      <c r="J21" s="2" t="n"/>
      <c r="K21" s="86" t="n"/>
      <c r="L21" s="3" t="n"/>
      <c r="M21" s="85">
        <f>IFERROR(IF(L21/K21&lt;=1,L21/K21,"El valor excede al 100%, colocar el valor programado y trasladar el excedente a actividades no programadas en este mes"),"Actividad no programada")</f>
        <v/>
      </c>
      <c r="N21" s="3" t="n"/>
      <c r="O21" s="86" t="n"/>
      <c r="P21" s="3" t="n"/>
      <c r="Q21" s="85">
        <f>IFERROR(IF(P21/O21&lt;=1,P21/O21,"El valor excede al 100%, colocar el valor programado y trasladar el excedente a actividades no programadas en este mes"),"Actividad no programada")</f>
        <v/>
      </c>
      <c r="R21" s="3" t="n"/>
      <c r="S21" s="87">
        <f>IFERROR(AVERAGE(I21,M21,Q21),"VALORES NO COLOCADOS")</f>
        <v/>
      </c>
      <c r="T21" s="86" t="n"/>
      <c r="U21" s="2" t="n"/>
      <c r="V21" s="85">
        <f>IFERROR(IF(U21/T21&lt;=1,U21/T21,"El valor excede al 100%, colocar el valor programado y trasladar el excedente a actividades no programadas en este mes"),"Actividad no programada")</f>
        <v/>
      </c>
      <c r="W21" s="2" t="n"/>
      <c r="X21" s="86" t="n"/>
      <c r="Y21" s="2" t="n"/>
      <c r="Z21" s="85">
        <f>IFERROR(IF(Y21/X21&lt;=1,Y21/X21,"El valor excede al 100%, colocar el valor programado y trasladar el excedente a actividades no programadas en este mes"),"Actividad no programada")</f>
        <v/>
      </c>
      <c r="AA21" s="2" t="n"/>
      <c r="AB21" s="86" t="n"/>
      <c r="AC21" s="2" t="n"/>
      <c r="AD21" s="85">
        <f>IFERROR(IF(AC21/AB21&lt;=1,AC21/AB21,"El valor excede al 100%, colocar el valor programado y trasladar el excedente a actividades no programadas en este mes"),"Actividad no programada")</f>
        <v/>
      </c>
      <c r="AE21" s="2" t="n"/>
      <c r="AF21" s="71">
        <f>IFERROR(AVERAGE(V21,Z21,AD21),"VALORES NO COLOCADOS")</f>
        <v/>
      </c>
      <c r="AG21" s="72">
        <f>IFERROR(AVERAGE(S21,AF21),"VALORES NO COLOCADOS")</f>
        <v/>
      </c>
      <c r="AH21" s="86" t="n"/>
      <c r="AI21" s="2" t="n"/>
      <c r="AJ21" s="75">
        <f>IFERROR(IF(AI21/AH21&lt;=1,AI21/AH21,"El valor excede al 100%, colocar el valor programado y trasladar el excedente a actividades no programadas en este mes"),"Actividad no programada")</f>
        <v/>
      </c>
      <c r="AK21" s="2" t="n"/>
      <c r="AL21" s="86" t="n"/>
      <c r="AM21" s="2" t="n"/>
      <c r="AN21" s="75">
        <f>IFERROR(IF(AM21/AL21&lt;=1,AM21/AL21,"El valor excede al 100%, colocar el valor programado y trasladar el excedente a actividades no programadas en este mes"),"Actividad no programada")</f>
        <v/>
      </c>
      <c r="AO21" s="2" t="n"/>
      <c r="AP21" s="86" t="n"/>
      <c r="AQ21" s="2" t="n"/>
      <c r="AR21" s="75">
        <f>IFERROR(IF(AQ21/AP21&lt;=1,AQ21/AP21,"El valor excede al 100%, colocar el valor programado y trasladar el excedente a actividades no programadas en este mes"),"Actividad no programada")</f>
        <v/>
      </c>
      <c r="AS21" s="2" t="n"/>
      <c r="AT21" s="76">
        <f>IFERROR(AVERAGE(AJ21,AN21,AR21),"VALORES NO COLOCADOS")</f>
        <v/>
      </c>
      <c r="AU21" s="86" t="n"/>
      <c r="AV21" s="2" t="n"/>
      <c r="AW21" s="75">
        <f>IFERROR(IF(AV21/AU21&lt;=1,AV21/AU21,"El valor excede al 100%, colocar el valor programado y trasladar el excedente a actividades no programadas en este mes"),"Actividad no programada")</f>
        <v/>
      </c>
      <c r="AX21" s="133" t="n"/>
      <c r="AY21" s="74" t="n"/>
      <c r="AZ21" s="134" t="n"/>
      <c r="BA21" s="75">
        <f>IFERROR(IF(AZ21/AY21&lt;=1,AZ21/AY21,"El valor excede al 100%, colocar el valor programado y trasladar el excedente a actividades no programadas en este mes"),"Actividad no programada")</f>
        <v/>
      </c>
      <c r="BB21" s="133" t="n"/>
      <c r="BC21" s="74" t="n"/>
      <c r="BD21" s="2" t="n"/>
      <c r="BE21" s="75">
        <f>IFERROR(IF(BD21/BC21&lt;=1,BD21/BC21,"El valor excede al 100%, colocar el valor programado y trasladar el excedente a actividades no programadas en este mes"),"Actividad no programada")</f>
        <v/>
      </c>
      <c r="BF21" s="136" t="n"/>
      <c r="BG21" s="77">
        <f>IFERROR(AVERAGE(AW21,BA21,BE21),"VALORES NO COLOCADOS")</f>
        <v/>
      </c>
      <c r="BH21" s="78">
        <f>IFERROR(AVERAGE(AT21,BG21),"VALORES NO COLOCADOS")</f>
        <v/>
      </c>
      <c r="BI21" s="79">
        <f>IFERROR(AVERAGE(AG21,BH21),"VALORES NO COLOCADOS")</f>
        <v/>
      </c>
      <c r="BJ21" s="167" t="n"/>
    </row>
    <row r="22" ht="38.25" customHeight="1" thickBot="1">
      <c r="B22" s="94" t="n"/>
      <c r="C22" s="95" t="inlineStr">
        <is>
          <t>Actividades no planificadas</t>
        </is>
      </c>
      <c r="D22" s="96" t="n"/>
      <c r="E22" s="97" t="n"/>
      <c r="F22" s="98" t="n"/>
      <c r="G22" s="99" t="n"/>
      <c r="H22" s="96" t="n"/>
      <c r="I22" s="96" t="n"/>
      <c r="J22" s="96" t="n"/>
      <c r="K22" s="96" t="n"/>
      <c r="L22" s="96" t="n"/>
      <c r="M22" s="96" t="n"/>
      <c r="N22" s="96" t="n"/>
      <c r="O22" s="96" t="n"/>
      <c r="P22" s="96" t="n"/>
      <c r="Q22" s="96" t="n"/>
      <c r="R22" s="96" t="n"/>
      <c r="S22" s="100">
        <f>IF(COUNTIF(S23:S27,"100%")&gt;0,"100%","VALORES NO COLOCADOS")</f>
        <v/>
      </c>
      <c r="T22" s="96" t="n"/>
      <c r="U22" s="96" t="n"/>
      <c r="V22" s="96" t="n"/>
      <c r="W22" s="96" t="n"/>
      <c r="X22" s="96" t="n"/>
      <c r="Y22" s="96" t="n"/>
      <c r="Z22" s="96" t="n"/>
      <c r="AA22" s="96" t="n"/>
      <c r="AB22" s="96" t="n"/>
      <c r="AC22" s="96" t="n"/>
      <c r="AD22" s="96" t="n"/>
      <c r="AE22" s="101" t="n"/>
      <c r="AF22" s="102">
        <f>IF(COUNTIF(AF23:AF27,"100%")&gt;0,"100%","VALORES NO COLOCADOS")</f>
        <v/>
      </c>
      <c r="AG22" s="103">
        <f>IF(COUNTIF(AG23:AG27,"100%")&gt;0,"100%","VALORES NO COLOCADOS")</f>
        <v/>
      </c>
      <c r="AH22" s="104" t="n"/>
      <c r="AI22" s="104" t="n"/>
      <c r="AJ22" s="104" t="n"/>
      <c r="AK22" s="104" t="n"/>
      <c r="AL22" s="104" t="n"/>
      <c r="AM22" s="104" t="n"/>
      <c r="AN22" s="104" t="n"/>
      <c r="AO22" s="104" t="n"/>
      <c r="AP22" s="104" t="n"/>
      <c r="AQ22" s="104" t="n"/>
      <c r="AR22" s="104" t="n"/>
      <c r="AS22" s="104" t="n"/>
      <c r="AT22" s="103">
        <f>IF(COUNTIF(AT23:AT27,"100%")&gt;0,"100%","VALORES NO COLOCADOS")</f>
        <v/>
      </c>
      <c r="AU22" s="104" t="n"/>
      <c r="AV22" s="104" t="n"/>
      <c r="AW22" s="104" t="n"/>
      <c r="AX22" s="104" t="n"/>
      <c r="AY22" s="104" t="n"/>
      <c r="AZ22" s="104" t="n"/>
      <c r="BA22" s="104" t="n"/>
      <c r="BB22" s="104" t="n"/>
      <c r="BC22" s="104" t="n"/>
      <c r="BD22" s="104" t="n"/>
      <c r="BE22" s="104" t="n"/>
      <c r="BF22" s="104" t="n"/>
      <c r="BG22" s="105">
        <f>IF(COUNTIF(BG23:BG27,"100%")&gt;0,"100%","VALORES NO COLOCADOS")</f>
        <v/>
      </c>
      <c r="BH22" s="102">
        <f>IF(COUNTIF(BH23:BH27,"100%")&gt;0,"100%","VALORES NO COLOCADOS")</f>
        <v/>
      </c>
      <c r="BI22" s="103">
        <f>IF(COUNTIF(BI23:BI27,"100%")&gt;0,"100%","VALORES NO COLOCADOS")</f>
        <v/>
      </c>
      <c r="BJ22" s="106" t="n"/>
    </row>
    <row r="23" ht="108" customHeight="1">
      <c r="A23" s="86" t="n"/>
      <c r="B23" s="107" t="n">
        <v>1</v>
      </c>
      <c r="C23" s="108" t="n"/>
      <c r="D23" s="109" t="n"/>
      <c r="E23" s="69" t="n"/>
      <c r="F23" s="109" t="n"/>
      <c r="G23" s="110" t="inlineStr">
        <is>
          <t>N/A</t>
        </is>
      </c>
      <c r="H23" s="6" t="n"/>
      <c r="I23" s="111">
        <f>IF(H23&gt;=1,"100%","0")</f>
        <v/>
      </c>
      <c r="J23" s="11" t="n"/>
      <c r="K23" s="110" t="inlineStr">
        <is>
          <t>N/A</t>
        </is>
      </c>
      <c r="L23" s="6" t="n"/>
      <c r="M23" s="111">
        <f>IF(L23&gt;=1,"100%","0")</f>
        <v/>
      </c>
      <c r="N23" s="11" t="n"/>
      <c r="O23" s="110" t="inlineStr">
        <is>
          <t>N/A</t>
        </is>
      </c>
      <c r="P23" s="6" t="n"/>
      <c r="Q23" s="111">
        <f>IF(P23&gt;=1,"100%","0")</f>
        <v/>
      </c>
      <c r="R23" s="6" t="n"/>
      <c r="S23" s="112">
        <f>IF(OR(I23="100%",M23="100%",Q23="100%"),"100%","VALORES NO COLOCADOS")</f>
        <v/>
      </c>
      <c r="T23" s="110" t="inlineStr">
        <is>
          <t>N/A</t>
        </is>
      </c>
      <c r="U23" s="6" t="n"/>
      <c r="V23" s="111">
        <f>IF(U23&gt;=1,"100%","0")</f>
        <v/>
      </c>
      <c r="W23" s="6" t="n"/>
      <c r="X23" s="110" t="inlineStr">
        <is>
          <t>N/A</t>
        </is>
      </c>
      <c r="Y23" s="6" t="n"/>
      <c r="Z23" s="111">
        <f>IF(Y23&gt;=1,"100%","0")</f>
        <v/>
      </c>
      <c r="AA23" s="6" t="n"/>
      <c r="AB23" s="110" t="inlineStr">
        <is>
          <t>N/A</t>
        </is>
      </c>
      <c r="AC23" s="6" t="n"/>
      <c r="AD23" s="111">
        <f>IF(AC23&gt;=1,"100%","0")</f>
        <v/>
      </c>
      <c r="AE23" s="12" t="n"/>
      <c r="AF23" s="113">
        <f>IF(OR(V23="100%",Z23="100%",AD23="100%"),"100%","VALORES NO COLOCADOS")</f>
        <v/>
      </c>
      <c r="AG23" s="72">
        <f>IF(OR(S23="100%",AF23="100%"),"100%","VALORES NO COLOCADOS")</f>
        <v/>
      </c>
      <c r="AH23" s="114" t="inlineStr">
        <is>
          <t>N/A</t>
        </is>
      </c>
      <c r="AI23" s="3" t="n"/>
      <c r="AJ23" s="115">
        <f>IF(AI23&gt;=1,"100%","0")</f>
        <v/>
      </c>
      <c r="AK23" s="3" t="n"/>
      <c r="AL23" s="114" t="inlineStr">
        <is>
          <t>N/A</t>
        </is>
      </c>
      <c r="AM23" s="3" t="n"/>
      <c r="AN23" s="115">
        <f>IF(AM23&gt;=1,"100%","0")</f>
        <v/>
      </c>
      <c r="AO23" s="3" t="n"/>
      <c r="AP23" s="114" t="inlineStr">
        <is>
          <t>N/A</t>
        </is>
      </c>
      <c r="AQ23" s="3" t="n"/>
      <c r="AR23" s="115">
        <f>IF(AQ23&gt;=1,"100%","0")</f>
        <v/>
      </c>
      <c r="AS23" s="3" t="n"/>
      <c r="AT23" s="116">
        <f>IF(OR(AJ23="100%",AN23="100%",AR23="100%"),"100%","VALORES NO COLOCADOS")</f>
        <v/>
      </c>
      <c r="AU23" s="114" t="inlineStr">
        <is>
          <t>N/A</t>
        </is>
      </c>
      <c r="AV23" s="3" t="n"/>
      <c r="AW23" s="115">
        <f>IF(AV23&gt;=1,"100%","0")</f>
        <v/>
      </c>
      <c r="AX23" s="3" t="n"/>
      <c r="AY23" s="114" t="inlineStr">
        <is>
          <t>N/A</t>
        </is>
      </c>
      <c r="AZ23" s="3" t="n"/>
      <c r="BA23" s="115">
        <f>IF(AZ23&gt;=1,"100%","0")</f>
        <v/>
      </c>
      <c r="BB23" s="3" t="n"/>
      <c r="BC23" s="114" t="inlineStr">
        <is>
          <t>N/A</t>
        </is>
      </c>
      <c r="BD23" s="3" t="n"/>
      <c r="BE23" s="115">
        <f>IF(BD23&gt;=1,"100%","0")</f>
        <v/>
      </c>
      <c r="BF23" s="3" t="n"/>
      <c r="BG23" s="116">
        <f>IF(OR(AW23="100%",BA23="100%",BE23="100%"),"100%","VALORES NO COLOCADOS")</f>
        <v/>
      </c>
      <c r="BH23" s="72">
        <f>IF(OR(AT23="100%",BG23="100%"),"100%","VALORES NO COLOCADOS")</f>
        <v/>
      </c>
      <c r="BI23" s="117">
        <f>IF(OR(AG23="100%",BH23="100%"),"100%","VALORES NO COLOCADOS")</f>
        <v/>
      </c>
      <c r="BJ23" s="168" t="n"/>
    </row>
    <row r="24" ht="108" customHeight="1">
      <c r="A24" s="86" t="n"/>
      <c r="B24" s="107" t="n">
        <v>2</v>
      </c>
      <c r="C24" s="81" t="n"/>
      <c r="D24" s="88" t="n"/>
      <c r="E24" s="86" t="n"/>
      <c r="F24" s="88" t="n"/>
      <c r="G24" s="114" t="inlineStr">
        <is>
          <t>N/A</t>
        </is>
      </c>
      <c r="H24" s="3" t="n"/>
      <c r="I24" s="119">
        <f>IF(H24&gt;=1,"100%","0")</f>
        <v/>
      </c>
      <c r="J24" s="2" t="n"/>
      <c r="K24" s="114" t="inlineStr">
        <is>
          <t>N/A</t>
        </is>
      </c>
      <c r="L24" s="3" t="n"/>
      <c r="M24" s="119">
        <f>IF(L24&gt;=1,"100%","0")</f>
        <v/>
      </c>
      <c r="N24" s="2" t="n"/>
      <c r="O24" s="114" t="inlineStr">
        <is>
          <t>N/A</t>
        </is>
      </c>
      <c r="P24" s="3" t="n"/>
      <c r="Q24" s="119">
        <f>IF(P24&gt;=1,"100%","0")</f>
        <v/>
      </c>
      <c r="R24" s="3" t="n"/>
      <c r="S24" s="120">
        <f>IF(OR(I24="100%",M24="100%",Q24="100%"),"100%","VALORES NO COLOCADOS")</f>
        <v/>
      </c>
      <c r="T24" s="114" t="inlineStr">
        <is>
          <t>N/A</t>
        </is>
      </c>
      <c r="U24" s="3" t="n"/>
      <c r="V24" s="119">
        <f>IF(U24&gt;=1,"100%","0")</f>
        <v/>
      </c>
      <c r="W24" s="3" t="n"/>
      <c r="X24" s="114" t="inlineStr">
        <is>
          <t>N/A</t>
        </is>
      </c>
      <c r="Y24" s="3" t="n"/>
      <c r="Z24" s="119">
        <f>IF(Y24&gt;=1,"100%","0")</f>
        <v/>
      </c>
      <c r="AA24" s="3" t="n"/>
      <c r="AB24" s="114" t="inlineStr">
        <is>
          <t>N/A</t>
        </is>
      </c>
      <c r="AC24" s="3" t="n"/>
      <c r="AD24" s="119">
        <f>IF(AC24&gt;=1,"100%","0")</f>
        <v/>
      </c>
      <c r="AE24" s="13" t="n"/>
      <c r="AF24" s="113">
        <f>IF(OR(V24="100%",Z24="100%",AD24="100%"),"100%","VALORES NO COLOCADOS")</f>
        <v/>
      </c>
      <c r="AG24" s="72">
        <f>IF(OR(S24="100%",AF24="100%"),"100%","VALORES NO COLOCADOS")</f>
        <v/>
      </c>
      <c r="AH24" s="114" t="inlineStr">
        <is>
          <t>N/A</t>
        </is>
      </c>
      <c r="AI24" s="3" t="n"/>
      <c r="AJ24" s="115">
        <f>IF(AI24&gt;=1,"100%","0")</f>
        <v/>
      </c>
      <c r="AK24" s="3" t="n"/>
      <c r="AL24" s="114" t="inlineStr">
        <is>
          <t>N/A</t>
        </is>
      </c>
      <c r="AM24" s="3" t="n"/>
      <c r="AN24" s="115">
        <f>IF(AM24&gt;=1,"100%","0")</f>
        <v/>
      </c>
      <c r="AO24" s="3" t="n"/>
      <c r="AP24" s="114" t="inlineStr">
        <is>
          <t>N/A</t>
        </is>
      </c>
      <c r="AQ24" s="3" t="n"/>
      <c r="AR24" s="115">
        <f>IF(AQ24&gt;=1,"100%","0")</f>
        <v/>
      </c>
      <c r="AS24" s="3" t="n"/>
      <c r="AT24" s="116">
        <f>IF(OR(AJ24="100%",AN24="100%",AR24="100%"),"100%","VALORES NO COLOCADOS")</f>
        <v/>
      </c>
      <c r="AU24" s="114" t="inlineStr">
        <is>
          <t>N/A</t>
        </is>
      </c>
      <c r="AV24" s="3" t="n"/>
      <c r="AW24" s="115">
        <f>IF(AV24&gt;=1,"100%","0")</f>
        <v/>
      </c>
      <c r="AX24" s="3" t="n"/>
      <c r="AY24" s="114" t="inlineStr">
        <is>
          <t>N/A</t>
        </is>
      </c>
      <c r="AZ24" s="3" t="n"/>
      <c r="BA24" s="115">
        <f>IF(AZ24&gt;=1,"100%","0")</f>
        <v/>
      </c>
      <c r="BB24" s="3" t="n"/>
      <c r="BC24" s="114" t="inlineStr">
        <is>
          <t>N/A</t>
        </is>
      </c>
      <c r="BD24" s="3" t="n"/>
      <c r="BE24" s="115">
        <f>IF(BD24&gt;=1,"100%","0")</f>
        <v/>
      </c>
      <c r="BF24" s="3" t="n"/>
      <c r="BG24" s="116">
        <f>IF(OR(AW24="100%",BA24="100%",BE24="100%"),"100%","VALORES NO COLOCADOS")</f>
        <v/>
      </c>
      <c r="BH24" s="72">
        <f>IF(OR(AT24="100%",BG24="100%"),"100%","VALORES NO COLOCADOS")</f>
        <v/>
      </c>
      <c r="BI24" s="117">
        <f>IF(OR(AG24="100%",BH24="100%"),"100%","VALORES NO COLOCADOS")</f>
        <v/>
      </c>
      <c r="BJ24" s="168" t="n"/>
    </row>
    <row r="25" ht="108" customHeight="1">
      <c r="A25" s="86" t="n"/>
      <c r="B25" s="107" t="n">
        <v>3</v>
      </c>
      <c r="C25" s="81" t="n"/>
      <c r="D25" s="88" t="n"/>
      <c r="E25" s="86" t="n"/>
      <c r="F25" s="88" t="n"/>
      <c r="G25" s="114" t="inlineStr">
        <is>
          <t>N/A</t>
        </is>
      </c>
      <c r="H25" s="3" t="n"/>
      <c r="I25" s="119">
        <f>IF(H25&gt;=1,"100%","0")</f>
        <v/>
      </c>
      <c r="J25" s="2" t="n"/>
      <c r="K25" s="114" t="inlineStr">
        <is>
          <t>N/A</t>
        </is>
      </c>
      <c r="L25" s="3" t="n"/>
      <c r="M25" s="119">
        <f>IF(L25&gt;=1,"100%","0")</f>
        <v/>
      </c>
      <c r="N25" s="2" t="n"/>
      <c r="O25" s="114" t="inlineStr">
        <is>
          <t>N/A</t>
        </is>
      </c>
      <c r="P25" s="3" t="n"/>
      <c r="Q25" s="119">
        <f>IF(P25&gt;=1,"100%","0")</f>
        <v/>
      </c>
      <c r="R25" s="3" t="n"/>
      <c r="S25" s="120">
        <f>IF(OR(I25="100%",M25="100%",Q25="100%"),"100%","VALORES NO COLOCADOS")</f>
        <v/>
      </c>
      <c r="T25" s="114" t="inlineStr">
        <is>
          <t>N/A</t>
        </is>
      </c>
      <c r="U25" s="3" t="n"/>
      <c r="V25" s="119">
        <f>IF(U25&gt;=1,"100%","0")</f>
        <v/>
      </c>
      <c r="W25" s="3" t="n"/>
      <c r="X25" s="114" t="inlineStr">
        <is>
          <t>N/A</t>
        </is>
      </c>
      <c r="Y25" s="3" t="n"/>
      <c r="Z25" s="119">
        <f>IF(Y25&gt;=1,"100%","0")</f>
        <v/>
      </c>
      <c r="AA25" s="3" t="n"/>
      <c r="AB25" s="114" t="inlineStr">
        <is>
          <t>N/A</t>
        </is>
      </c>
      <c r="AC25" s="3" t="n"/>
      <c r="AD25" s="119">
        <f>IF(AC25&gt;=1,"100%","0")</f>
        <v/>
      </c>
      <c r="AE25" s="13" t="n"/>
      <c r="AF25" s="113">
        <f>IF(OR(V25="100%",Z25="100%",AD25="100%"),"100%","VALORES NO COLOCADOS")</f>
        <v/>
      </c>
      <c r="AG25" s="72">
        <f>IF(OR(S25="100%",AF25="100%"),"100%","VALORES NO COLOCADOS")</f>
        <v/>
      </c>
      <c r="AH25" s="114" t="inlineStr">
        <is>
          <t>N/A</t>
        </is>
      </c>
      <c r="AI25" s="3" t="n"/>
      <c r="AJ25" s="115">
        <f>IF(AI25&gt;=1,"100%","0")</f>
        <v/>
      </c>
      <c r="AK25" s="3" t="n"/>
      <c r="AL25" s="114" t="inlineStr">
        <is>
          <t>N/A</t>
        </is>
      </c>
      <c r="AM25" s="3" t="n"/>
      <c r="AN25" s="115">
        <f>IF(AM25&gt;=1,"100%","0")</f>
        <v/>
      </c>
      <c r="AO25" s="3" t="n"/>
      <c r="AP25" s="114" t="inlineStr">
        <is>
          <t>N/A</t>
        </is>
      </c>
      <c r="AQ25" s="3" t="n"/>
      <c r="AR25" s="115">
        <f>IF(AQ25&gt;=1,"100%","0")</f>
        <v/>
      </c>
      <c r="AS25" s="3" t="n"/>
      <c r="AT25" s="116">
        <f>IF(OR(AJ25="100%",AN25="100%",AR25="100%"),"100%","VALORES NO COLOCADOS")</f>
        <v/>
      </c>
      <c r="AU25" s="114" t="inlineStr">
        <is>
          <t>N/A</t>
        </is>
      </c>
      <c r="AV25" s="3" t="n"/>
      <c r="AW25" s="115">
        <f>IF(AV25&gt;=1,"100%","0")</f>
        <v/>
      </c>
      <c r="AX25" s="3" t="n"/>
      <c r="AY25" s="114" t="inlineStr">
        <is>
          <t>N/A</t>
        </is>
      </c>
      <c r="AZ25" s="3" t="n"/>
      <c r="BA25" s="115">
        <f>IF(AZ25&gt;=1,"100%","0")</f>
        <v/>
      </c>
      <c r="BB25" s="3" t="n"/>
      <c r="BC25" s="114" t="inlineStr">
        <is>
          <t>N/A</t>
        </is>
      </c>
      <c r="BD25" s="3" t="n"/>
      <c r="BE25" s="115">
        <f>IF(BD25&gt;=1,"100%","0")</f>
        <v/>
      </c>
      <c r="BF25" s="3" t="n"/>
      <c r="BG25" s="116">
        <f>IF(OR(AW25="100%",BA25="100%",BE25="100%"),"100%","VALORES NO COLOCADOS")</f>
        <v/>
      </c>
      <c r="BH25" s="72">
        <f>IF(OR(AT25="100%",BG25="100%"),"100%","VALORES NO COLOCADOS")</f>
        <v/>
      </c>
      <c r="BI25" s="117">
        <f>IF(OR(AG25="100%",BH25="100%"),"100%","VALORES NO COLOCADOS")</f>
        <v/>
      </c>
      <c r="BJ25" s="168" t="n"/>
    </row>
    <row r="26" ht="108" customHeight="1">
      <c r="A26" s="86" t="n"/>
      <c r="B26" s="107" t="n">
        <v>4</v>
      </c>
      <c r="C26" s="81" t="n"/>
      <c r="D26" s="88" t="n"/>
      <c r="E26" s="86" t="n"/>
      <c r="F26" s="88" t="n"/>
      <c r="G26" s="114" t="inlineStr">
        <is>
          <t>N/A</t>
        </is>
      </c>
      <c r="H26" s="3" t="n"/>
      <c r="I26" s="119">
        <f>IF(H26&gt;=1,"100%","0")</f>
        <v/>
      </c>
      <c r="J26" s="2" t="n"/>
      <c r="K26" s="114" t="inlineStr">
        <is>
          <t>N/A</t>
        </is>
      </c>
      <c r="L26" s="3" t="n"/>
      <c r="M26" s="119">
        <f>IF(L26&gt;=1,"100%","0")</f>
        <v/>
      </c>
      <c r="N26" s="2" t="n"/>
      <c r="O26" s="114" t="inlineStr">
        <is>
          <t>N/A</t>
        </is>
      </c>
      <c r="P26" s="3" t="n"/>
      <c r="Q26" s="119">
        <f>IF(P26&gt;=1,"100%","0")</f>
        <v/>
      </c>
      <c r="R26" s="3" t="n"/>
      <c r="S26" s="120">
        <f>IF(OR(I26="100%",M26="100%",Q26="100%"),"100%","VALORES NO COLOCADOS")</f>
        <v/>
      </c>
      <c r="T26" s="114" t="inlineStr">
        <is>
          <t>N/A</t>
        </is>
      </c>
      <c r="U26" s="3" t="n"/>
      <c r="V26" s="119">
        <f>IF(U26&gt;=1,"100%","0")</f>
        <v/>
      </c>
      <c r="W26" s="3" t="n"/>
      <c r="X26" s="114" t="inlineStr">
        <is>
          <t>N/A</t>
        </is>
      </c>
      <c r="Y26" s="3" t="n"/>
      <c r="Z26" s="119">
        <f>IF(Y26&gt;=1,"100%","0")</f>
        <v/>
      </c>
      <c r="AA26" s="3" t="n"/>
      <c r="AB26" s="114" t="inlineStr">
        <is>
          <t>N/A</t>
        </is>
      </c>
      <c r="AC26" s="3" t="n"/>
      <c r="AD26" s="119">
        <f>IF(AC26&gt;=1,"100%","0")</f>
        <v/>
      </c>
      <c r="AE26" s="13" t="n"/>
      <c r="AF26" s="113">
        <f>IF(OR(V26="100%",Z26="100%",AD26="100%"),"100%","VALORES NO COLOCADOS")</f>
        <v/>
      </c>
      <c r="AG26" s="72">
        <f>IF(OR(S26="100%",AF26="100%"),"100%","VALORES NO COLOCADOS")</f>
        <v/>
      </c>
      <c r="AH26" s="114" t="inlineStr">
        <is>
          <t>N/A</t>
        </is>
      </c>
      <c r="AI26" s="3" t="n"/>
      <c r="AJ26" s="115">
        <f>IF(AI26&gt;=1,"100%","0")</f>
        <v/>
      </c>
      <c r="AK26" s="3" t="n"/>
      <c r="AL26" s="114" t="inlineStr">
        <is>
          <t>N/A</t>
        </is>
      </c>
      <c r="AM26" s="3" t="n"/>
      <c r="AN26" s="115">
        <f>IF(AM26&gt;=1,"100%","0")</f>
        <v/>
      </c>
      <c r="AO26" s="3" t="n"/>
      <c r="AP26" s="114" t="inlineStr">
        <is>
          <t>N/A</t>
        </is>
      </c>
      <c r="AQ26" s="3" t="n"/>
      <c r="AR26" s="115">
        <f>IF(AQ26&gt;=1,"100%","0")</f>
        <v/>
      </c>
      <c r="AS26" s="3" t="n"/>
      <c r="AT26" s="116">
        <f>IF(OR(AJ26="100%",AN26="100%",AR26="100%"),"100%","VALORES NO COLOCADOS")</f>
        <v/>
      </c>
      <c r="AU26" s="114" t="inlineStr">
        <is>
          <t>N/A</t>
        </is>
      </c>
      <c r="AV26" s="3" t="n"/>
      <c r="AW26" s="115">
        <f>IF(AV26&gt;=1,"100%","0")</f>
        <v/>
      </c>
      <c r="AX26" s="3" t="n"/>
      <c r="AY26" s="114" t="inlineStr">
        <is>
          <t>N/A</t>
        </is>
      </c>
      <c r="AZ26" s="3" t="n"/>
      <c r="BA26" s="115">
        <f>IF(AZ26&gt;=1,"100%","0")</f>
        <v/>
      </c>
      <c r="BB26" s="3" t="n"/>
      <c r="BC26" s="114" t="inlineStr">
        <is>
          <t>N/A</t>
        </is>
      </c>
      <c r="BD26" s="3" t="n"/>
      <c r="BE26" s="115">
        <f>IF(BD26&gt;=1,"100%","0")</f>
        <v/>
      </c>
      <c r="BF26" s="3" t="n"/>
      <c r="BG26" s="116">
        <f>IF(OR(AW26="100%",BA26="100%",BE26="100%"),"100%","VALORES NO COLOCADOS")</f>
        <v/>
      </c>
      <c r="BH26" s="72">
        <f>IF(OR(AT26="100%",BG26="100%"),"100%","VALORES NO COLOCADOS")</f>
        <v/>
      </c>
      <c r="BI26" s="117">
        <f>IF(OR(AG26="100%",BH26="100%"),"100%","VALORES NO COLOCADOS")</f>
        <v/>
      </c>
      <c r="BJ26" s="168" t="n"/>
    </row>
    <row r="27" ht="108" customHeight="1" thickBot="1">
      <c r="A27" s="86" t="n"/>
      <c r="B27" s="107" t="n">
        <v>5</v>
      </c>
      <c r="C27" s="121" t="n"/>
      <c r="D27" s="122" t="n"/>
      <c r="E27" s="123" t="n"/>
      <c r="F27" s="122" t="n"/>
      <c r="G27" s="124" t="inlineStr">
        <is>
          <t>N/A</t>
        </is>
      </c>
      <c r="H27" s="9" t="n"/>
      <c r="I27" s="125">
        <f>IF(H27&gt;=1,"100%","0")</f>
        <v/>
      </c>
      <c r="J27" s="8" t="n"/>
      <c r="K27" s="124" t="inlineStr">
        <is>
          <t>N/A</t>
        </is>
      </c>
      <c r="L27" s="9" t="n"/>
      <c r="M27" s="125">
        <f>IF(L27&gt;=1,"100%","0")</f>
        <v/>
      </c>
      <c r="N27" s="8" t="n"/>
      <c r="O27" s="124" t="inlineStr">
        <is>
          <t>N/A</t>
        </is>
      </c>
      <c r="P27" s="9" t="n"/>
      <c r="Q27" s="125">
        <f>IF(P27&gt;=1,"100%","0")</f>
        <v/>
      </c>
      <c r="R27" s="9" t="n"/>
      <c r="S27" s="126">
        <f>IF(OR(I27="100%",M27="100%",Q27="100%"),"100%","VALORES NO COLOCADOS")</f>
        <v/>
      </c>
      <c r="T27" s="124" t="inlineStr">
        <is>
          <t>N/A</t>
        </is>
      </c>
      <c r="U27" s="9" t="n"/>
      <c r="V27" s="125">
        <f>IF(U27&gt;=1,"100%","0")</f>
        <v/>
      </c>
      <c r="W27" s="9" t="n"/>
      <c r="X27" s="124" t="inlineStr">
        <is>
          <t>N/A</t>
        </is>
      </c>
      <c r="Y27" s="9" t="n"/>
      <c r="Z27" s="125">
        <f>IF(Y27&gt;=1,"100%","0")</f>
        <v/>
      </c>
      <c r="AA27" s="9" t="n"/>
      <c r="AB27" s="124" t="inlineStr">
        <is>
          <t>N/A</t>
        </is>
      </c>
      <c r="AC27" s="9" t="n"/>
      <c r="AD27" s="125">
        <f>IF(AC27&gt;=1,"100%","0")</f>
        <v/>
      </c>
      <c r="AE27" s="10" t="n"/>
      <c r="AF27" s="113">
        <f>IF(OR(V27="100%",Z27="100%",AD27="100%"),"100%","VALORES NO COLOCADOS")</f>
        <v/>
      </c>
      <c r="AG27" s="72">
        <f>IF(OR(S27="100%",AF27="100%"),"100%","VALORES NO COLOCADOS")</f>
        <v/>
      </c>
      <c r="AH27" s="114" t="inlineStr">
        <is>
          <t>N/A</t>
        </is>
      </c>
      <c r="AI27" s="3" t="n"/>
      <c r="AJ27" s="115">
        <f>IF(AI27&gt;=1,"100%","0")</f>
        <v/>
      </c>
      <c r="AK27" s="3" t="n"/>
      <c r="AL27" s="114" t="inlineStr">
        <is>
          <t>N/A</t>
        </is>
      </c>
      <c r="AM27" s="3" t="n"/>
      <c r="AN27" s="115">
        <f>IF(AM27&gt;=1,"100%","0")</f>
        <v/>
      </c>
      <c r="AO27" s="3" t="n"/>
      <c r="AP27" s="114" t="inlineStr">
        <is>
          <t>N/A</t>
        </is>
      </c>
      <c r="AQ27" s="3" t="n"/>
      <c r="AR27" s="115">
        <f>IF(AQ27&gt;=1,"100%","0")</f>
        <v/>
      </c>
      <c r="AS27" s="3" t="n"/>
      <c r="AT27" s="116">
        <f>IF(OR(AJ27="100%",AN27="100%",AR27="100%"),"100%","VALORES NO COLOCADOS")</f>
        <v/>
      </c>
      <c r="AU27" s="114" t="inlineStr">
        <is>
          <t>N/A</t>
        </is>
      </c>
      <c r="AV27" s="3" t="n"/>
      <c r="AW27" s="115">
        <f>IF(AV27&gt;=1,"100%","0")</f>
        <v/>
      </c>
      <c r="AX27" s="3" t="n"/>
      <c r="AY27" s="114" t="inlineStr">
        <is>
          <t>N/A</t>
        </is>
      </c>
      <c r="AZ27" s="3" t="n"/>
      <c r="BA27" s="115">
        <f>IF(AZ27&gt;=1,"100%","0")</f>
        <v/>
      </c>
      <c r="BB27" s="3" t="n"/>
      <c r="BC27" s="114" t="inlineStr">
        <is>
          <t>N/A</t>
        </is>
      </c>
      <c r="BD27" s="3" t="n"/>
      <c r="BE27" s="115">
        <f>IF(BD27&gt;=1,"100%","0")</f>
        <v/>
      </c>
      <c r="BF27" s="3" t="n"/>
      <c r="BG27" s="116">
        <f>IF(OR(AW27="100%",BA27="100%",BE27="100%"),"100%","VALORES NO COLOCADOS")</f>
        <v/>
      </c>
      <c r="BH27" s="72">
        <f>IF(OR(AT27="100%",BG27="100%"),"100%","VALORES NO COLOCADOS")</f>
        <v/>
      </c>
      <c r="BI27" s="117">
        <f>IF(OR(AG27="100%",BH27="100%"),"100%","VALORES NO COLOCADOS")</f>
        <v/>
      </c>
      <c r="BJ27" s="168" t="n"/>
    </row>
    <row r="28">
      <c r="C28" s="23" t="n"/>
      <c r="D28" s="23" t="n"/>
      <c r="E28" s="127" t="n"/>
      <c r="F28" s="127" t="n"/>
      <c r="G28" s="127" t="n"/>
      <c r="H28" s="127" t="n"/>
      <c r="I28" s="127" t="n"/>
      <c r="J28" s="127" t="n"/>
      <c r="K28" s="127" t="n"/>
      <c r="L28" s="127" t="n"/>
      <c r="M28" s="127" t="n"/>
      <c r="N28" s="127" t="n"/>
      <c r="O28" s="127" t="n"/>
    </row>
    <row r="29">
      <c r="C29" s="23" t="n"/>
      <c r="D29" s="23" t="n"/>
      <c r="E29" s="127" t="n"/>
      <c r="F29" s="127" t="n"/>
      <c r="G29" s="127" t="n"/>
      <c r="H29" s="127" t="n"/>
      <c r="I29" s="127" t="n"/>
      <c r="J29" s="127" t="n"/>
      <c r="K29" s="127" t="n"/>
      <c r="L29" s="127" t="n"/>
      <c r="M29" s="127" t="n"/>
      <c r="N29" s="127" t="n"/>
      <c r="O29" s="127" t="n"/>
    </row>
    <row r="30">
      <c r="C30" s="23" t="n"/>
      <c r="D30" s="23" t="n"/>
      <c r="E30" s="127" t="n"/>
      <c r="F30" s="127" t="n"/>
      <c r="G30" s="127" t="n"/>
      <c r="H30" s="127" t="n"/>
      <c r="I30" s="127" t="n"/>
      <c r="J30" s="127" t="n"/>
      <c r="K30" s="127" t="n"/>
      <c r="L30" s="127" t="n"/>
      <c r="M30" s="127" t="n"/>
      <c r="N30" s="127" t="n"/>
      <c r="O30" s="127" t="n"/>
    </row>
    <row r="31">
      <c r="C31" s="23" t="n"/>
      <c r="D31" s="23" t="n"/>
      <c r="E31" s="127" t="n"/>
      <c r="F31" s="127" t="n"/>
      <c r="G31" s="127" t="n"/>
      <c r="H31" s="127" t="n"/>
      <c r="I31" s="127" t="n"/>
      <c r="J31" s="127" t="n"/>
      <c r="K31" s="127" t="n"/>
      <c r="L31" s="127" t="n"/>
      <c r="M31" s="127" t="n"/>
      <c r="N31" s="127" t="n"/>
      <c r="O31" s="127" t="n"/>
    </row>
    <row r="32">
      <c r="C32" s="23" t="n"/>
      <c r="D32" s="23" t="n"/>
      <c r="E32" s="127" t="n"/>
      <c r="F32" s="127" t="n"/>
      <c r="G32" s="127" t="n"/>
      <c r="H32" s="127" t="n"/>
      <c r="I32" s="127" t="n"/>
      <c r="J32" s="127" t="n"/>
      <c r="K32" s="127" t="n"/>
      <c r="L32" s="127" t="n"/>
      <c r="M32" s="127" t="n"/>
      <c r="N32" s="127" t="n"/>
      <c r="O32" s="127" t="n"/>
    </row>
    <row r="33">
      <c r="C33" s="23" t="n"/>
      <c r="D33" s="23" t="n"/>
      <c r="E33" s="127" t="n"/>
      <c r="F33" s="127" t="n"/>
      <c r="G33" s="127" t="n"/>
      <c r="H33" s="127" t="n"/>
      <c r="I33" s="127" t="n"/>
      <c r="J33" s="127" t="n"/>
      <c r="K33" s="127" t="n"/>
      <c r="L33" s="127" t="n"/>
      <c r="M33" s="127" t="n"/>
      <c r="N33" s="127" t="n"/>
      <c r="O33" s="127" t="n"/>
    </row>
    <row r="34">
      <c r="C34" s="23" t="n"/>
      <c r="D34" s="23" t="n"/>
      <c r="E34" s="127" t="n"/>
      <c r="F34" s="127" t="n"/>
      <c r="G34" s="127" t="n"/>
      <c r="H34" s="127" t="n"/>
      <c r="I34" s="127" t="n"/>
      <c r="J34" s="127" t="n"/>
      <c r="K34" s="127" t="n"/>
      <c r="L34" s="127" t="n"/>
      <c r="M34" s="127" t="n"/>
      <c r="N34" s="127" t="n"/>
      <c r="O34" s="127" t="n"/>
    </row>
    <row r="35">
      <c r="C35" s="23" t="n"/>
      <c r="D35" s="23" t="n"/>
      <c r="E35" s="127" t="n"/>
      <c r="F35" s="127" t="n"/>
      <c r="G35" s="127" t="n"/>
      <c r="H35" s="127" t="n"/>
      <c r="I35" s="127" t="n"/>
      <c r="J35" s="127" t="n"/>
      <c r="K35" s="127" t="n"/>
      <c r="L35" s="127" t="n"/>
      <c r="M35" s="127" t="n"/>
      <c r="N35" s="127" t="n"/>
      <c r="O35" s="127" t="n"/>
    </row>
  </sheetData>
  <mergeCells count="18">
    <mergeCell ref="D10:D13"/>
    <mergeCell ref="O12:R12"/>
    <mergeCell ref="E10:E13"/>
    <mergeCell ref="T12:W12"/>
    <mergeCell ref="AY12:BB12"/>
    <mergeCell ref="X12:AA12"/>
    <mergeCell ref="AL12:AO12"/>
    <mergeCell ref="AB12:AE12"/>
    <mergeCell ref="AP12:AS12"/>
    <mergeCell ref="BC12:BF12"/>
    <mergeCell ref="G12:J12"/>
    <mergeCell ref="AH12:AK12"/>
    <mergeCell ref="K12:N12"/>
    <mergeCell ref="AU12:AX12"/>
    <mergeCell ref="F10:F13"/>
    <mergeCell ref="C10:C13"/>
    <mergeCell ref="B10:B13"/>
    <mergeCell ref="G10:BI10"/>
  </mergeCells>
  <printOptions horizontalCentered="1" verticalCentered="1"/>
  <pageMargins left="0.1968503937007874" right="0.1968503937007874" top="0.1968503937007874" bottom="0.1968503937007874" header="0.3149606299212598" footer="0.3149606299212598"/>
  <pageSetup orientation="landscape" scale="28" horizontalDpi="4294967293"/>
  <drawing xmlns:r="http://schemas.openxmlformats.org/officeDocument/2006/relationships" r:id="rId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Yesenia Beatriz Lemus de Avila</dc:creator>
  <dcterms:created xsi:type="dcterms:W3CDTF">2021-09-17T15:03:57Z</dcterms:created>
  <dcterms:modified xsi:type="dcterms:W3CDTF">2026-02-20T16:31:36Z</dcterms:modified>
  <cp:lastModifiedBy>Técnico Planificación</cp:lastModifiedBy>
  <cp:lastPrinted>2025-02-20T22:03:36Z</cp:lastPrinted>
</cp:coreProperties>
</file>